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3152" windowHeight="11055" firstSheet="4" activeTab="2"/>
  </bookViews>
  <sheets>
    <sheet name="N" sheetId="3" r:id="rId1"/>
    <sheet name="T" sheetId="7" r:id="rId2"/>
    <sheet name="K" sheetId="17" r:id="rId3"/>
    <sheet name="o" sheetId="4" r:id="rId4"/>
    <sheet name="R_3" sheetId="23" r:id="rId5"/>
    <sheet name="R_7" sheetId="24" r:id="rId6"/>
    <sheet name="R_14" sheetId="25" r:id="rId7"/>
    <sheet name="R_17" sheetId="26" r:id="rId8"/>
    <sheet name="R_35" sheetId="27" r:id="rId9"/>
  </sheets>
  <definedNames>
    <definedName name="_xlnm._FilterDatabase" localSheetId="0" hidden="1">N!$A$3:$B$15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<sst xmlns="http://schemas.openxmlformats.org/spreadsheetml/2006/main" count="466" uniqueCount="147">
  <si>
    <t>N</t>
  </si>
  <si>
    <t>Chengdu</t>
  </si>
  <si>
    <t>dazhou</t>
  </si>
  <si>
    <t>guangyuan</t>
  </si>
  <si>
    <t>dujiangyan</t>
  </si>
  <si>
    <t>maerkang</t>
  </si>
  <si>
    <t>kangding</t>
  </si>
  <si>
    <t>yaan</t>
  </si>
  <si>
    <t>xichang</t>
  </si>
  <si>
    <t>panzhihua</t>
  </si>
  <si>
    <t>bazhong</t>
  </si>
  <si>
    <t>emeishan</t>
  </si>
  <si>
    <t>Dewei</t>
  </si>
  <si>
    <t>Yanzigou</t>
  </si>
  <si>
    <t>Moxi</t>
  </si>
  <si>
    <t>Detuo</t>
  </si>
  <si>
    <t>Ziya</t>
  </si>
  <si>
    <t>fanrongcun</t>
  </si>
  <si>
    <t>maliecun</t>
  </si>
  <si>
    <t>dapingcun</t>
  </si>
  <si>
    <t>dawuke</t>
  </si>
  <si>
    <t>tianchishancun</t>
  </si>
  <si>
    <t>beitoucun</t>
  </si>
  <si>
    <t>zhengjiaping</t>
  </si>
  <si>
    <t>xinhuacun</t>
  </si>
  <si>
    <t>maobadi</t>
  </si>
  <si>
    <t>niupingcun</t>
  </si>
  <si>
    <t>caiyangcun</t>
  </si>
  <si>
    <t>qinggangpingcun</t>
  </si>
  <si>
    <t>fazhugang</t>
  </si>
  <si>
    <t>gonghecun</t>
  </si>
  <si>
    <t>shanshuping</t>
  </si>
  <si>
    <t>banbianjie</t>
  </si>
  <si>
    <t>pingshang</t>
  </si>
  <si>
    <t>maanyao</t>
  </si>
  <si>
    <t>T</t>
  </si>
  <si>
    <t>K</t>
  </si>
  <si>
    <t>u</t>
  </si>
  <si>
    <t>speed</t>
  </si>
  <si>
    <t>c1</t>
  </si>
  <si>
    <t>c1‘</t>
  </si>
  <si>
    <t>c4</t>
  </si>
  <si>
    <t>type</t>
  </si>
  <si>
    <t>Barge1</t>
  </si>
  <si>
    <t>Barge2</t>
  </si>
  <si>
    <t>Barge3</t>
  </si>
  <si>
    <t>Barge4</t>
  </si>
  <si>
    <t>Barge5</t>
  </si>
  <si>
    <t>Barge6</t>
  </si>
  <si>
    <t>Barge7</t>
  </si>
  <si>
    <t>Barge8</t>
  </si>
  <si>
    <t>Barge9</t>
  </si>
  <si>
    <t>Barge10</t>
  </si>
  <si>
    <t>Barge11</t>
  </si>
  <si>
    <t>Barge12</t>
  </si>
  <si>
    <t>Barge13</t>
  </si>
  <si>
    <t>Barge14</t>
  </si>
  <si>
    <t>Barge15</t>
  </si>
  <si>
    <t>Barge16</t>
  </si>
  <si>
    <t>Barge17</t>
  </si>
  <si>
    <t>Barge18</t>
  </si>
  <si>
    <t>Barge19</t>
  </si>
  <si>
    <t>Barge20</t>
  </si>
  <si>
    <t>Barge21</t>
  </si>
  <si>
    <t>Barge22</t>
  </si>
  <si>
    <t>Barge23</t>
  </si>
  <si>
    <t>Barge24</t>
  </si>
  <si>
    <t>Barge25</t>
  </si>
  <si>
    <t>Barge26</t>
  </si>
  <si>
    <t>Barge27</t>
  </si>
  <si>
    <t>Barge28</t>
  </si>
  <si>
    <t>Barge29</t>
  </si>
  <si>
    <t>Barge30</t>
  </si>
  <si>
    <t>Barge31</t>
  </si>
  <si>
    <t>Barge32</t>
  </si>
  <si>
    <t>Barge33</t>
  </si>
  <si>
    <t>Barge34</t>
  </si>
  <si>
    <t>Barge35</t>
  </si>
  <si>
    <t>Barge36</t>
  </si>
  <si>
    <t>Barge37</t>
  </si>
  <si>
    <t>Barge38</t>
  </si>
  <si>
    <t>Barge39</t>
  </si>
  <si>
    <t>Barge40</t>
  </si>
  <si>
    <t>Barge41</t>
  </si>
  <si>
    <t>Barge42</t>
  </si>
  <si>
    <t>Barge43</t>
  </si>
  <si>
    <t>Barge44</t>
  </si>
  <si>
    <t>Barge45</t>
  </si>
  <si>
    <t>Barge46</t>
  </si>
  <si>
    <t>Barge47</t>
  </si>
  <si>
    <t>Barge48</t>
  </si>
  <si>
    <t>Barge49</t>
  </si>
  <si>
    <t>Barge50</t>
  </si>
  <si>
    <t>Barge51</t>
  </si>
  <si>
    <t>Train1</t>
  </si>
  <si>
    <t>Train2</t>
  </si>
  <si>
    <t>Train3</t>
  </si>
  <si>
    <t>Train4</t>
  </si>
  <si>
    <t>Train5</t>
  </si>
  <si>
    <t>Train6</t>
  </si>
  <si>
    <t>Train7</t>
  </si>
  <si>
    <t>Train8</t>
  </si>
  <si>
    <t>Train9</t>
  </si>
  <si>
    <t>Train10</t>
  </si>
  <si>
    <t>Truck1</t>
  </si>
  <si>
    <t>Truck2</t>
  </si>
  <si>
    <t>Truck3</t>
  </si>
  <si>
    <t>Truck4</t>
  </si>
  <si>
    <t>Truck5</t>
  </si>
  <si>
    <t>Truck6</t>
  </si>
  <si>
    <t>Truck7</t>
  </si>
  <si>
    <t>Truck8</t>
  </si>
  <si>
    <t>Truck9</t>
  </si>
  <si>
    <t>Truck10</t>
  </si>
  <si>
    <t>Truck11</t>
  </si>
  <si>
    <t>Truck12</t>
  </si>
  <si>
    <t>Truck13</t>
  </si>
  <si>
    <t>Truck14</t>
  </si>
  <si>
    <t>Truck15</t>
  </si>
  <si>
    <t>Truck16</t>
  </si>
  <si>
    <t>Truck17</t>
  </si>
  <si>
    <t>Truck18</t>
  </si>
  <si>
    <t>Truck19</t>
  </si>
  <si>
    <t>Truck20</t>
  </si>
  <si>
    <t>Truck21</t>
  </si>
  <si>
    <t>Truck22</t>
  </si>
  <si>
    <t>Truck23</t>
  </si>
  <si>
    <t>Truck24</t>
  </si>
  <si>
    <t>Truck25</t>
  </si>
  <si>
    <t>Truck26</t>
  </si>
  <si>
    <t>Truck27</t>
  </si>
  <si>
    <t>Truck28</t>
  </si>
  <si>
    <t>Truck29</t>
  </si>
  <si>
    <t>Truck30</t>
  </si>
  <si>
    <t>Truck31</t>
  </si>
  <si>
    <t>Truck32</t>
  </si>
  <si>
    <t>Truck33</t>
  </si>
  <si>
    <t>Truck34</t>
  </si>
  <si>
    <t>o</t>
  </si>
  <si>
    <t>o2</t>
  </si>
  <si>
    <t>p</t>
  </si>
  <si>
    <t>d</t>
  </si>
  <si>
    <t>ap</t>
  </si>
  <si>
    <t>bp</t>
  </si>
  <si>
    <t>ad</t>
  </si>
  <si>
    <t>bd</t>
  </si>
  <si>
    <t>qr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</si>
</sst>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5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0_ "/>
  </numFmts>
  <fonts count="25">
    <font>
      <sz val="11"/>
      <color theme="1"/>
      <name val="等线"/>
      <charset val="134"/>
      <scheme val="minor"/>
    </font>
    <font>
      <b/>
      <sz val="11"/>
      <name val="等线"/>
      <charset val="134"/>
      <scheme val="minor"/>
    </font>
    <font>
      <sz val="11"/>
      <color rgb="FFFF0000"/>
      <name val="等线"/>
      <charset val="134"/>
      <scheme val="minor"/>
    </font>
    <font>
      <sz val="11"/>
      <color theme="1"/>
      <name val="宋体"/>
      <charset val="134"/>
    </font>
    <font>
      <sz val="11"/>
      <color rgb="FF000000"/>
      <name val="等线"/>
      <charset val="134"/>
    </font>
    <font>
      <b/>
      <sz val="11"/>
      <color theme="1"/>
      <name val="等线"/>
      <charset val="134"/>
      <scheme val="minor"/>
    </font>
    <font>
      <u/>
      <sz val="11"/>
      <color rgb="FF0000FF"/>
      <name val="等线"/>
      <charset val="0"/>
      <scheme val="minor"/>
    </font>
    <font>
      <u/>
      <sz val="11"/>
      <color rgb="FF800080"/>
      <name val="等线"/>
      <charset val="0"/>
      <scheme val="minor"/>
    </font>
    <font>
      <sz val="11"/>
      <color rgb="FFFF0000"/>
      <name val="等线"/>
      <charset val="0"/>
      <scheme val="minor"/>
    </font>
    <font>
      <b/>
      <sz val="18"/>
      <color theme="3"/>
      <name val="等线"/>
      <charset val="134"/>
      <scheme val="minor"/>
    </font>
    <font>
      <i/>
      <sz val="11"/>
      <color rgb="FF7F7F7F"/>
      <name val="等线"/>
      <charset val="0"/>
      <scheme val="minor"/>
    </font>
    <font>
      <b/>
      <sz val="15"/>
      <color theme="3"/>
      <name val="等线"/>
      <charset val="134"/>
      <scheme val="minor"/>
    </font>
    <font>
      <b/>
      <sz val="13"/>
      <color theme="3"/>
      <name val="等线"/>
      <charset val="134"/>
      <scheme val="minor"/>
    </font>
    <font>
      <b/>
      <sz val="11"/>
      <color theme="3"/>
      <name val="等线"/>
      <charset val="134"/>
      <scheme val="minor"/>
    </font>
    <font>
      <sz val="11"/>
      <color rgb="FF3F3F76"/>
      <name val="等线"/>
      <charset val="0"/>
      <scheme val="minor"/>
    </font>
    <font>
      <b/>
      <sz val="11"/>
      <color rgb="FF3F3F3F"/>
      <name val="等线"/>
      <charset val="0"/>
      <scheme val="minor"/>
    </font>
    <font>
      <b/>
      <sz val="11"/>
      <color rgb="FFFA7D00"/>
      <name val="等线"/>
      <charset val="0"/>
      <scheme val="minor"/>
    </font>
    <font>
      <b/>
      <sz val="11"/>
      <color rgb="FFFFFFFF"/>
      <name val="等线"/>
      <charset val="0"/>
      <scheme val="minor"/>
    </font>
    <font>
      <sz val="11"/>
      <color rgb="FFFA7D00"/>
      <name val="等线"/>
      <charset val="0"/>
      <scheme val="minor"/>
    </font>
    <font>
      <b/>
      <sz val="11"/>
      <color theme="1"/>
      <name val="等线"/>
      <charset val="0"/>
      <scheme val="minor"/>
    </font>
    <font>
      <sz val="11"/>
      <color rgb="FF006100"/>
      <name val="等线"/>
      <charset val="0"/>
      <scheme val="minor"/>
    </font>
    <font>
      <sz val="11"/>
      <color rgb="FF9C0006"/>
      <name val="等线"/>
      <charset val="0"/>
      <scheme val="minor"/>
    </font>
    <font>
      <sz val="11"/>
      <color rgb="FF9C6500"/>
      <name val="等线"/>
      <charset val="0"/>
      <scheme val="minor"/>
    </font>
    <font>
      <sz val="11"/>
      <color theme="0"/>
      <name val="等线"/>
      <charset val="0"/>
      <scheme val="minor"/>
    </font>
    <font>
      <sz val="11"/>
      <color theme="1"/>
      <name val="等线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0" fillId="2" borderId="2" applyNumberFormat="0" applyFont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3" applyNumberFormat="0" applyFill="0" applyAlignment="0" applyProtection="0">
      <alignment vertical="center"/>
    </xf>
    <xf numFmtId="0" fontId="12" fillId="0" borderId="3" applyNumberFormat="0" applyFill="0" applyAlignment="0" applyProtection="0">
      <alignment vertical="center"/>
    </xf>
    <xf numFmtId="0" fontId="13" fillId="0" borderId="4" applyNumberFormat="0" applyFill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3" borderId="5" applyNumberFormat="0" applyAlignment="0" applyProtection="0">
      <alignment vertical="center"/>
    </xf>
    <xf numFmtId="0" fontId="15" fillId="4" borderId="6" applyNumberFormat="0" applyAlignment="0" applyProtection="0">
      <alignment vertical="center"/>
    </xf>
    <xf numFmtId="0" fontId="16" fillId="4" borderId="5" applyNumberFormat="0" applyAlignment="0" applyProtection="0">
      <alignment vertical="center"/>
    </xf>
    <xf numFmtId="0" fontId="17" fillId="5" borderId="7" applyNumberFormat="0" applyAlignment="0" applyProtection="0">
      <alignment vertical="center"/>
    </xf>
    <xf numFmtId="0" fontId="18" fillId="0" borderId="8" applyNumberFormat="0" applyFill="0" applyAlignment="0" applyProtection="0">
      <alignment vertical="center"/>
    </xf>
    <xf numFmtId="0" fontId="19" fillId="0" borderId="9" applyNumberFormat="0" applyFill="0" applyAlignment="0" applyProtection="0">
      <alignment vertical="center"/>
    </xf>
    <xf numFmtId="0" fontId="20" fillId="6" borderId="0" applyNumberFormat="0" applyBorder="0" applyAlignment="0" applyProtection="0">
      <alignment vertical="center"/>
    </xf>
    <xf numFmtId="0" fontId="21" fillId="7" borderId="0" applyNumberFormat="0" applyBorder="0" applyAlignment="0" applyProtection="0">
      <alignment vertical="center"/>
    </xf>
    <xf numFmtId="0" fontId="22" fillId="8" borderId="0" applyNumberFormat="0" applyBorder="0" applyAlignment="0" applyProtection="0">
      <alignment vertical="center"/>
    </xf>
    <xf numFmtId="0" fontId="23" fillId="9" borderId="0" applyNumberFormat="0" applyBorder="0" applyAlignment="0" applyProtection="0">
      <alignment vertical="center"/>
    </xf>
    <xf numFmtId="0" fontId="24" fillId="10" borderId="0" applyNumberFormat="0" applyBorder="0" applyAlignment="0" applyProtection="0">
      <alignment vertical="center"/>
    </xf>
    <xf numFmtId="0" fontId="24" fillId="11" borderId="0" applyNumberFormat="0" applyBorder="0" applyAlignment="0" applyProtection="0">
      <alignment vertical="center"/>
    </xf>
    <xf numFmtId="0" fontId="23" fillId="12" borderId="0" applyNumberFormat="0" applyBorder="0" applyAlignment="0" applyProtection="0">
      <alignment vertical="center"/>
    </xf>
    <xf numFmtId="0" fontId="23" fillId="13" borderId="0" applyNumberFormat="0" applyBorder="0" applyAlignment="0" applyProtection="0">
      <alignment vertical="center"/>
    </xf>
    <xf numFmtId="0" fontId="24" fillId="14" borderId="0" applyNumberFormat="0" applyBorder="0" applyAlignment="0" applyProtection="0">
      <alignment vertical="center"/>
    </xf>
    <xf numFmtId="0" fontId="24" fillId="15" borderId="0" applyNumberFormat="0" applyBorder="0" applyAlignment="0" applyProtection="0">
      <alignment vertical="center"/>
    </xf>
    <xf numFmtId="0" fontId="23" fillId="16" borderId="0" applyNumberFormat="0" applyBorder="0" applyAlignment="0" applyProtection="0">
      <alignment vertical="center"/>
    </xf>
    <xf numFmtId="0" fontId="23" fillId="17" borderId="0" applyNumberFormat="0" applyBorder="0" applyAlignment="0" applyProtection="0">
      <alignment vertical="center"/>
    </xf>
    <xf numFmtId="0" fontId="24" fillId="18" borderId="0" applyNumberFormat="0" applyBorder="0" applyAlignment="0" applyProtection="0">
      <alignment vertical="center"/>
    </xf>
    <xf numFmtId="0" fontId="24" fillId="19" borderId="0" applyNumberFormat="0" applyBorder="0" applyAlignment="0" applyProtection="0">
      <alignment vertical="center"/>
    </xf>
    <xf numFmtId="0" fontId="23" fillId="20" borderId="0" applyNumberFormat="0" applyBorder="0" applyAlignment="0" applyProtection="0">
      <alignment vertical="center"/>
    </xf>
    <xf numFmtId="0" fontId="23" fillId="21" borderId="0" applyNumberFormat="0" applyBorder="0" applyAlignment="0" applyProtection="0">
      <alignment vertical="center"/>
    </xf>
    <xf numFmtId="0" fontId="24" fillId="22" borderId="0" applyNumberFormat="0" applyBorder="0" applyAlignment="0" applyProtection="0">
      <alignment vertical="center"/>
    </xf>
    <xf numFmtId="0" fontId="24" fillId="23" borderId="0" applyNumberFormat="0" applyBorder="0" applyAlignment="0" applyProtection="0">
      <alignment vertical="center"/>
    </xf>
    <xf numFmtId="0" fontId="23" fillId="24" borderId="0" applyNumberFormat="0" applyBorder="0" applyAlignment="0" applyProtection="0">
      <alignment vertical="center"/>
    </xf>
    <xf numFmtId="0" fontId="23" fillId="25" borderId="0" applyNumberFormat="0" applyBorder="0" applyAlignment="0" applyProtection="0">
      <alignment vertical="center"/>
    </xf>
    <xf numFmtId="0" fontId="24" fillId="26" borderId="0" applyNumberFormat="0" applyBorder="0" applyAlignment="0" applyProtection="0">
      <alignment vertical="center"/>
    </xf>
    <xf numFmtId="0" fontId="24" fillId="27" borderId="0" applyNumberFormat="0" applyBorder="0" applyAlignment="0" applyProtection="0">
      <alignment vertical="center"/>
    </xf>
    <xf numFmtId="0" fontId="23" fillId="28" borderId="0" applyNumberFormat="0" applyBorder="0" applyAlignment="0" applyProtection="0">
      <alignment vertical="center"/>
    </xf>
    <xf numFmtId="0" fontId="23" fillId="29" borderId="0" applyNumberFormat="0" applyBorder="0" applyAlignment="0" applyProtection="0">
      <alignment vertical="center"/>
    </xf>
    <xf numFmtId="0" fontId="24" fillId="30" borderId="0" applyNumberFormat="0" applyBorder="0" applyAlignment="0" applyProtection="0">
      <alignment vertical="center"/>
    </xf>
    <xf numFmtId="0" fontId="24" fillId="31" borderId="0" applyNumberFormat="0" applyBorder="0" applyAlignment="0" applyProtection="0">
      <alignment vertical="center"/>
    </xf>
    <xf numFmtId="0" fontId="23" fillId="32" borderId="0" applyNumberFormat="0" applyBorder="0" applyAlignment="0" applyProtection="0">
      <alignment vertical="center"/>
    </xf>
  </cellStyleXfs>
  <cellXfs count="15">
    <xf numFmtId="0" fontId="0" fillId="0" borderId="0" xfId="0"/>
    <xf numFmtId="0" fontId="0" fillId="0" borderId="0" xfId="0" applyFont="1" applyFill="1" applyAlignment="1"/>
    <xf numFmtId="0" fontId="1" fillId="0" borderId="1" xfId="0" applyFont="1" applyFill="1" applyBorder="1" applyAlignment="1">
      <alignment horizontal="center" vertical="top"/>
    </xf>
    <xf numFmtId="0" fontId="0" fillId="0" borderId="0" xfId="0" applyFill="1"/>
    <xf numFmtId="0" fontId="2" fillId="0" borderId="0" xfId="0" applyFont="1" applyFill="1"/>
    <xf numFmtId="0" fontId="3" fillId="0" borderId="0" xfId="0" applyFont="1" applyFill="1" applyAlignment="1"/>
    <xf numFmtId="0" fontId="0" fillId="0" borderId="0" xfId="0" applyBorder="1" applyAlignment="1">
      <alignment horizontal="center"/>
    </xf>
    <xf numFmtId="0" fontId="0" fillId="0" borderId="0" xfId="0" applyFont="1" applyFill="1" applyAlignment="1">
      <alignment horizontal="center"/>
    </xf>
    <xf numFmtId="0" fontId="0" fillId="0" borderId="0" xfId="0" applyFont="1" applyFill="1"/>
    <xf numFmtId="0" fontId="0" fillId="0" borderId="0" xfId="0" applyFont="1"/>
    <xf numFmtId="0" fontId="0" fillId="0" borderId="0" xfId="0" applyFont="1" applyBorder="1" applyAlignment="1">
      <alignment horizontal="center" vertical="top"/>
    </xf>
    <xf numFmtId="0" fontId="4" fillId="0" borderId="0" xfId="0" applyFont="1" applyBorder="1" applyAlignment="1">
      <alignment horizontal="center"/>
    </xf>
    <xf numFmtId="176" fontId="0" fillId="0" borderId="0" xfId="0" applyNumberFormat="1"/>
    <xf numFmtId="0" fontId="5" fillId="0" borderId="0" xfId="0" applyFont="1" applyBorder="1" applyAlignment="1">
      <alignment horizontal="center" vertical="top"/>
    </xf>
    <xf numFmtId="2" fontId="0" fillId="0" borderId="0" xfId="0" applyNumberFormat="1" applyAlignment="1">
      <alignment horizontal="right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9" Type="http://schemas.openxmlformats.org/officeDocument/2006/relationships/worksheet" Target="worksheets/sheet9.xml"/><Relationship Id="rId8" Type="http://schemas.openxmlformats.org/officeDocument/2006/relationships/worksheet" Target="worksheets/sheet8.xml"/><Relationship Id="rId7" Type="http://schemas.openxmlformats.org/officeDocument/2006/relationships/worksheet" Target="worksheets/sheet7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2" Type="http://schemas.openxmlformats.org/officeDocument/2006/relationships/styles" Target="styles.xml"/><Relationship Id="rId11" Type="http://schemas.openxmlformats.org/officeDocument/2006/relationships/sharedStrings" Target="sharedStrings.xml"/><Relationship Id="rId10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35"/>
  <sheetViews>
    <sheetView workbookViewId="0">
      <selection activeCell="A2" sqref="A2"/>
    </sheetView>
  </sheetViews>
  <sheetFormatPr defaultColWidth="8.79646017699115" defaultRowHeight="13.85" outlineLevelCol="1"/>
  <cols>
    <col min="1" max="1" width="10.3362831858407" style="9" customWidth="1"/>
    <col min="2" max="2" width="17.5309734513274" customWidth="1"/>
    <col min="3" max="3" width="19.7964601769912" customWidth="1"/>
    <col min="4" max="4" width="20.6637168141593" customWidth="1"/>
  </cols>
  <sheetData>
    <row r="1" spans="1:1">
      <c r="A1" s="13" t="s">
        <v>0</v>
      </c>
    </row>
    <row r="2" spans="1:1">
      <c r="A2" s="10" t="s">
        <v>1</v>
      </c>
    </row>
    <row r="3" spans="1:1">
      <c r="A3" s="10" t="s">
        <v>2</v>
      </c>
    </row>
    <row r="4" spans="1:1">
      <c r="A4" s="10" t="s">
        <v>3</v>
      </c>
    </row>
    <row r="5" spans="1:1">
      <c r="A5" s="10" t="s">
        <v>4</v>
      </c>
    </row>
    <row r="6" spans="1:1">
      <c r="A6" s="10" t="s">
        <v>5</v>
      </c>
    </row>
    <row r="7" spans="1:1">
      <c r="A7" s="6" t="s">
        <v>6</v>
      </c>
    </row>
    <row r="8" spans="1:1">
      <c r="A8" s="6" t="s">
        <v>7</v>
      </c>
    </row>
    <row r="9" spans="1:1">
      <c r="A9" s="6" t="s">
        <v>8</v>
      </c>
    </row>
    <row r="10" spans="1:1">
      <c r="A10" s="6" t="s">
        <v>9</v>
      </c>
    </row>
    <row r="11" spans="1:1">
      <c r="A11" s="6" t="s">
        <v>10</v>
      </c>
    </row>
    <row r="12" spans="1:1">
      <c r="A12" s="10" t="s">
        <v>11</v>
      </c>
    </row>
    <row r="13" spans="1:2">
      <c r="A13" s="10" t="s">
        <v>12</v>
      </c>
      <c r="B13" s="14"/>
    </row>
    <row r="14" spans="1:2">
      <c r="A14" s="10" t="s">
        <v>13</v>
      </c>
      <c r="B14" s="14"/>
    </row>
    <row r="15" spans="1:2">
      <c r="A15" s="10" t="s">
        <v>14</v>
      </c>
      <c r="B15" s="14"/>
    </row>
    <row r="16" spans="1:1">
      <c r="A16" s="6" t="s">
        <v>15</v>
      </c>
    </row>
    <row r="17" spans="1:1">
      <c r="A17" s="6" t="s">
        <v>16</v>
      </c>
    </row>
    <row r="18" spans="1:1">
      <c r="A18" s="9" t="s">
        <v>17</v>
      </c>
    </row>
    <row r="19" spans="1:1">
      <c r="A19" s="9" t="s">
        <v>18</v>
      </c>
    </row>
    <row r="20" spans="1:1">
      <c r="A20" s="9" t="s">
        <v>19</v>
      </c>
    </row>
    <row r="21" spans="1:1">
      <c r="A21" s="9" t="s">
        <v>20</v>
      </c>
    </row>
    <row r="22" spans="1:1">
      <c r="A22" s="9" t="s">
        <v>21</v>
      </c>
    </row>
    <row r="23" spans="1:1">
      <c r="A23" s="9" t="s">
        <v>22</v>
      </c>
    </row>
    <row r="24" spans="1:1">
      <c r="A24" s="9" t="s">
        <v>23</v>
      </c>
    </row>
    <row r="25" spans="1:1">
      <c r="A25" s="9" t="s">
        <v>24</v>
      </c>
    </row>
    <row r="26" spans="1:1">
      <c r="A26" s="9" t="s">
        <v>25</v>
      </c>
    </row>
    <row r="27" spans="1:1">
      <c r="A27" s="9" t="s">
        <v>26</v>
      </c>
    </row>
    <row r="28" spans="1:1">
      <c r="A28" s="9" t="s">
        <v>27</v>
      </c>
    </row>
    <row r="29" spans="1:1">
      <c r="A29" s="9" t="s">
        <v>28</v>
      </c>
    </row>
    <row r="30" spans="1:1">
      <c r="A30" s="9" t="s">
        <v>29</v>
      </c>
    </row>
    <row r="31" spans="1:1">
      <c r="A31" s="9" t="s">
        <v>30</v>
      </c>
    </row>
    <row r="32" spans="1:1">
      <c r="A32" s="9" t="s">
        <v>31</v>
      </c>
    </row>
    <row r="33" spans="1:1">
      <c r="A33" s="9" t="s">
        <v>32</v>
      </c>
    </row>
    <row r="34" spans="1:1">
      <c r="A34" s="9" t="s">
        <v>33</v>
      </c>
    </row>
    <row r="35" spans="1:1">
      <c r="A35" s="9" t="s">
        <v>34</v>
      </c>
    </row>
  </sheetData>
  <sortState ref="A2:B14">
    <sortCondition ref="B2:B14"/>
  </sortState>
  <pageMargins left="0.7" right="0.7" top="0.75" bottom="0.75" header="0.3" footer="0.3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17"/>
  <sheetViews>
    <sheetView workbookViewId="0">
      <selection activeCell="A7" sqref="A7"/>
    </sheetView>
  </sheetViews>
  <sheetFormatPr defaultColWidth="8.79646017699115" defaultRowHeight="13.85" outlineLevelCol="1"/>
  <cols>
    <col min="1" max="1" width="10.3362831858407" style="9" customWidth="1"/>
  </cols>
  <sheetData>
    <row r="1" spans="1:1">
      <c r="A1" s="13" t="s">
        <v>35</v>
      </c>
    </row>
    <row r="2" spans="1:2">
      <c r="A2" s="10" t="s">
        <v>1</v>
      </c>
      <c r="B2" s="10"/>
    </row>
    <row r="3" spans="1:2">
      <c r="A3" s="6" t="s">
        <v>7</v>
      </c>
      <c r="B3" s="10"/>
    </row>
    <row r="4" spans="1:2">
      <c r="A4" s="10" t="s">
        <v>4</v>
      </c>
      <c r="B4" s="10"/>
    </row>
    <row r="5" spans="1:2">
      <c r="A5" s="10" t="s">
        <v>11</v>
      </c>
      <c r="B5" s="10"/>
    </row>
    <row r="6" spans="1:2">
      <c r="A6" s="6" t="s">
        <v>6</v>
      </c>
      <c r="B6" s="10"/>
    </row>
    <row r="7" spans="1:2">
      <c r="A7" s="6"/>
      <c r="B7" s="6"/>
    </row>
    <row r="8" spans="1:2">
      <c r="A8" s="6"/>
      <c r="B8" s="6"/>
    </row>
    <row r="9" spans="1:2">
      <c r="A9" s="6"/>
      <c r="B9" s="6"/>
    </row>
    <row r="10" spans="1:2">
      <c r="A10" s="6"/>
      <c r="B10" s="6"/>
    </row>
    <row r="11" spans="1:2">
      <c r="A11" s="6"/>
      <c r="B11" s="6"/>
    </row>
    <row r="12" spans="1:2">
      <c r="A12" s="10"/>
      <c r="B12" s="10"/>
    </row>
    <row r="13" spans="1:2">
      <c r="A13" s="10"/>
      <c r="B13" s="10"/>
    </row>
    <row r="14" spans="1:2">
      <c r="A14" s="10"/>
      <c r="B14" s="10"/>
    </row>
    <row r="15" spans="1:2">
      <c r="A15" s="10"/>
      <c r="B15" s="10"/>
    </row>
    <row r="16" spans="1:2">
      <c r="A16" s="6"/>
      <c r="B16" s="6"/>
    </row>
    <row r="17" spans="1:2">
      <c r="A17" s="6"/>
      <c r="B17" s="6"/>
    </row>
  </sheetData>
  <pageMargins left="0.7" right="0.7" top="0.75" bottom="0.75" header="0.3" footer="0.3"/>
  <pageSetup paperSize="9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98"/>
  <sheetViews>
    <sheetView tabSelected="1" workbookViewId="0">
      <selection activeCell="C2" sqref="C2:C52"/>
    </sheetView>
  </sheetViews>
  <sheetFormatPr defaultColWidth="8.79646017699115" defaultRowHeight="13.85" outlineLevelCol="6"/>
  <cols>
    <col min="1" max="1" width="13.7964601769912" style="6" customWidth="1"/>
  </cols>
  <sheetData>
    <row r="1" spans="1:7">
      <c r="A1" s="6" t="s">
        <v>36</v>
      </c>
      <c r="B1" t="s">
        <v>37</v>
      </c>
      <c r="C1" t="s">
        <v>38</v>
      </c>
      <c r="D1" t="s">
        <v>39</v>
      </c>
      <c r="E1" t="s">
        <v>40</v>
      </c>
      <c r="F1" t="s">
        <v>41</v>
      </c>
      <c r="G1" t="s">
        <v>42</v>
      </c>
    </row>
    <row r="2" spans="1:7">
      <c r="A2" s="7" t="s">
        <v>43</v>
      </c>
      <c r="B2">
        <v>50</v>
      </c>
      <c r="C2">
        <f>50*0.8</f>
        <v>40</v>
      </c>
      <c r="D2">
        <v>47.5</v>
      </c>
      <c r="E2">
        <f>1.45</f>
        <v>1.45</v>
      </c>
      <c r="F2">
        <v>0</v>
      </c>
      <c r="G2">
        <v>1</v>
      </c>
    </row>
    <row r="3" spans="1:7">
      <c r="A3" s="7" t="s">
        <v>44</v>
      </c>
      <c r="B3">
        <v>50</v>
      </c>
      <c r="C3">
        <f t="shared" ref="C3:C12" si="0">50*0.8</f>
        <v>40</v>
      </c>
      <c r="D3">
        <v>47.5</v>
      </c>
      <c r="E3">
        <f t="shared" ref="E3:E12" si="1">1.45</f>
        <v>1.45</v>
      </c>
      <c r="F3">
        <v>0</v>
      </c>
      <c r="G3">
        <v>1</v>
      </c>
    </row>
    <row r="4" spans="1:7">
      <c r="A4" s="7" t="s">
        <v>45</v>
      </c>
      <c r="B4">
        <v>50</v>
      </c>
      <c r="C4">
        <f t="shared" si="0"/>
        <v>40</v>
      </c>
      <c r="D4">
        <v>47.5</v>
      </c>
      <c r="E4">
        <f t="shared" si="1"/>
        <v>1.45</v>
      </c>
      <c r="F4">
        <v>0</v>
      </c>
      <c r="G4">
        <v>1</v>
      </c>
    </row>
    <row r="5" spans="1:7">
      <c r="A5" s="7" t="s">
        <v>46</v>
      </c>
      <c r="B5">
        <v>50</v>
      </c>
      <c r="C5">
        <f t="shared" si="0"/>
        <v>40</v>
      </c>
      <c r="D5">
        <v>47.5</v>
      </c>
      <c r="E5">
        <f t="shared" si="1"/>
        <v>1.45</v>
      </c>
      <c r="F5">
        <v>0</v>
      </c>
      <c r="G5">
        <v>1</v>
      </c>
    </row>
    <row r="6" spans="1:7">
      <c r="A6" s="7" t="s">
        <v>47</v>
      </c>
      <c r="B6">
        <v>50</v>
      </c>
      <c r="C6">
        <f t="shared" si="0"/>
        <v>40</v>
      </c>
      <c r="D6">
        <v>47.5</v>
      </c>
      <c r="E6">
        <f t="shared" si="1"/>
        <v>1.45</v>
      </c>
      <c r="F6">
        <v>0</v>
      </c>
      <c r="G6">
        <v>1</v>
      </c>
    </row>
    <row r="7" spans="1:7">
      <c r="A7" s="7" t="s">
        <v>48</v>
      </c>
      <c r="B7">
        <v>50</v>
      </c>
      <c r="C7">
        <f t="shared" si="0"/>
        <v>40</v>
      </c>
      <c r="D7">
        <v>47.5</v>
      </c>
      <c r="E7">
        <f t="shared" si="1"/>
        <v>1.45</v>
      </c>
      <c r="F7">
        <v>0</v>
      </c>
      <c r="G7">
        <v>1</v>
      </c>
    </row>
    <row r="8" spans="1:7">
      <c r="A8" s="7" t="s">
        <v>49</v>
      </c>
      <c r="B8">
        <v>50</v>
      </c>
      <c r="C8">
        <f t="shared" si="0"/>
        <v>40</v>
      </c>
      <c r="D8">
        <v>47.5</v>
      </c>
      <c r="E8">
        <f t="shared" si="1"/>
        <v>1.45</v>
      </c>
      <c r="F8">
        <v>0</v>
      </c>
      <c r="G8">
        <v>1</v>
      </c>
    </row>
    <row r="9" spans="1:7">
      <c r="A9" s="7" t="s">
        <v>50</v>
      </c>
      <c r="B9">
        <v>50</v>
      </c>
      <c r="C9">
        <f t="shared" si="0"/>
        <v>40</v>
      </c>
      <c r="D9">
        <v>47.5</v>
      </c>
      <c r="E9">
        <f t="shared" si="1"/>
        <v>1.45</v>
      </c>
      <c r="F9">
        <v>0</v>
      </c>
      <c r="G9">
        <v>1</v>
      </c>
    </row>
    <row r="10" spans="1:7">
      <c r="A10" s="7" t="s">
        <v>51</v>
      </c>
      <c r="B10">
        <v>50</v>
      </c>
      <c r="C10">
        <f t="shared" si="0"/>
        <v>40</v>
      </c>
      <c r="D10">
        <v>47.5</v>
      </c>
      <c r="E10">
        <f t="shared" si="1"/>
        <v>1.45</v>
      </c>
      <c r="F10">
        <v>0</v>
      </c>
      <c r="G10">
        <v>1</v>
      </c>
    </row>
    <row r="11" spans="1:7">
      <c r="A11" s="7" t="s">
        <v>52</v>
      </c>
      <c r="B11">
        <v>50</v>
      </c>
      <c r="C11">
        <f t="shared" si="0"/>
        <v>40</v>
      </c>
      <c r="D11">
        <v>47.5</v>
      </c>
      <c r="E11">
        <f t="shared" si="1"/>
        <v>1.45</v>
      </c>
      <c r="F11">
        <v>0</v>
      </c>
      <c r="G11">
        <v>1</v>
      </c>
    </row>
    <row r="12" spans="1:7">
      <c r="A12" s="7" t="s">
        <v>53</v>
      </c>
      <c r="B12">
        <v>50</v>
      </c>
      <c r="C12">
        <f t="shared" si="0"/>
        <v>40</v>
      </c>
      <c r="D12">
        <v>47.5</v>
      </c>
      <c r="E12">
        <f t="shared" si="1"/>
        <v>1.45</v>
      </c>
      <c r="F12">
        <v>0</v>
      </c>
      <c r="G12">
        <v>1</v>
      </c>
    </row>
    <row r="13" spans="1:7">
      <c r="A13" s="7" t="s">
        <v>54</v>
      </c>
      <c r="B13">
        <v>50</v>
      </c>
      <c r="C13">
        <f t="shared" ref="C13:C22" si="2">50*0.8</f>
        <v>40</v>
      </c>
      <c r="D13">
        <v>47.5</v>
      </c>
      <c r="E13">
        <f t="shared" ref="E13:E22" si="3">1.45</f>
        <v>1.45</v>
      </c>
      <c r="F13">
        <v>0</v>
      </c>
      <c r="G13">
        <v>1</v>
      </c>
    </row>
    <row r="14" spans="1:7">
      <c r="A14" s="7" t="s">
        <v>55</v>
      </c>
      <c r="B14">
        <v>50</v>
      </c>
      <c r="C14">
        <f t="shared" si="2"/>
        <v>40</v>
      </c>
      <c r="D14">
        <v>47.5</v>
      </c>
      <c r="E14">
        <f t="shared" si="3"/>
        <v>1.45</v>
      </c>
      <c r="F14">
        <v>0</v>
      </c>
      <c r="G14">
        <v>1</v>
      </c>
    </row>
    <row r="15" spans="1:7">
      <c r="A15" s="7" t="s">
        <v>56</v>
      </c>
      <c r="B15">
        <v>50</v>
      </c>
      <c r="C15">
        <f t="shared" si="2"/>
        <v>40</v>
      </c>
      <c r="D15">
        <v>47.5</v>
      </c>
      <c r="E15">
        <f t="shared" si="3"/>
        <v>1.45</v>
      </c>
      <c r="F15">
        <v>0</v>
      </c>
      <c r="G15">
        <v>1</v>
      </c>
    </row>
    <row r="16" spans="1:7">
      <c r="A16" s="7" t="s">
        <v>57</v>
      </c>
      <c r="B16">
        <v>50</v>
      </c>
      <c r="C16">
        <f t="shared" si="2"/>
        <v>40</v>
      </c>
      <c r="D16">
        <v>47.5</v>
      </c>
      <c r="E16">
        <f t="shared" si="3"/>
        <v>1.45</v>
      </c>
      <c r="F16">
        <v>0</v>
      </c>
      <c r="G16">
        <v>1</v>
      </c>
    </row>
    <row r="17" spans="1:7">
      <c r="A17" s="7" t="s">
        <v>58</v>
      </c>
      <c r="B17">
        <v>50</v>
      </c>
      <c r="C17">
        <f t="shared" si="2"/>
        <v>40</v>
      </c>
      <c r="D17">
        <v>47.5</v>
      </c>
      <c r="E17">
        <f t="shared" si="3"/>
        <v>1.45</v>
      </c>
      <c r="F17">
        <v>0</v>
      </c>
      <c r="G17">
        <v>1</v>
      </c>
    </row>
    <row r="18" spans="1:7">
      <c r="A18" s="7" t="s">
        <v>59</v>
      </c>
      <c r="B18">
        <v>50</v>
      </c>
      <c r="C18">
        <f t="shared" si="2"/>
        <v>40</v>
      </c>
      <c r="D18">
        <v>47.5</v>
      </c>
      <c r="E18">
        <f t="shared" si="3"/>
        <v>1.45</v>
      </c>
      <c r="F18">
        <v>0</v>
      </c>
      <c r="G18">
        <v>1</v>
      </c>
    </row>
    <row r="19" spans="1:7">
      <c r="A19" s="7" t="s">
        <v>60</v>
      </c>
      <c r="B19">
        <v>50</v>
      </c>
      <c r="C19">
        <f t="shared" si="2"/>
        <v>40</v>
      </c>
      <c r="D19">
        <v>47.5</v>
      </c>
      <c r="E19">
        <f t="shared" si="3"/>
        <v>1.45</v>
      </c>
      <c r="F19">
        <v>0</v>
      </c>
      <c r="G19">
        <v>1</v>
      </c>
    </row>
    <row r="20" spans="1:7">
      <c r="A20" s="7" t="s">
        <v>61</v>
      </c>
      <c r="B20">
        <v>50</v>
      </c>
      <c r="C20">
        <f t="shared" si="2"/>
        <v>40</v>
      </c>
      <c r="D20">
        <v>47.5</v>
      </c>
      <c r="E20">
        <f t="shared" si="3"/>
        <v>1.45</v>
      </c>
      <c r="F20">
        <v>0</v>
      </c>
      <c r="G20">
        <v>1</v>
      </c>
    </row>
    <row r="21" spans="1:7">
      <c r="A21" s="7" t="s">
        <v>62</v>
      </c>
      <c r="B21">
        <v>50</v>
      </c>
      <c r="C21">
        <f t="shared" si="2"/>
        <v>40</v>
      </c>
      <c r="D21">
        <v>47.5</v>
      </c>
      <c r="E21">
        <f t="shared" si="3"/>
        <v>1.45</v>
      </c>
      <c r="F21">
        <v>0</v>
      </c>
      <c r="G21">
        <v>1</v>
      </c>
    </row>
    <row r="22" spans="1:7">
      <c r="A22" s="7" t="s">
        <v>63</v>
      </c>
      <c r="B22">
        <v>50</v>
      </c>
      <c r="C22">
        <f t="shared" si="2"/>
        <v>40</v>
      </c>
      <c r="D22">
        <v>47.5</v>
      </c>
      <c r="E22">
        <f t="shared" si="3"/>
        <v>1.45</v>
      </c>
      <c r="F22">
        <v>0</v>
      </c>
      <c r="G22">
        <v>1</v>
      </c>
    </row>
    <row r="23" spans="1:7">
      <c r="A23" s="7" t="s">
        <v>64</v>
      </c>
      <c r="B23">
        <v>50</v>
      </c>
      <c r="C23">
        <f t="shared" ref="C23:C32" si="4">50*0.8</f>
        <v>40</v>
      </c>
      <c r="D23">
        <v>47.5</v>
      </c>
      <c r="E23">
        <f t="shared" ref="E23:E32" si="5">1.45</f>
        <v>1.45</v>
      </c>
      <c r="F23">
        <v>0</v>
      </c>
      <c r="G23">
        <v>1</v>
      </c>
    </row>
    <row r="24" spans="1:7">
      <c r="A24" s="7" t="s">
        <v>65</v>
      </c>
      <c r="B24">
        <v>50</v>
      </c>
      <c r="C24">
        <f t="shared" si="4"/>
        <v>40</v>
      </c>
      <c r="D24">
        <v>47.5</v>
      </c>
      <c r="E24">
        <f t="shared" si="5"/>
        <v>1.45</v>
      </c>
      <c r="F24">
        <v>0</v>
      </c>
      <c r="G24">
        <v>1</v>
      </c>
    </row>
    <row r="25" spans="1:7">
      <c r="A25" s="7" t="s">
        <v>66</v>
      </c>
      <c r="B25">
        <v>50</v>
      </c>
      <c r="C25">
        <f t="shared" si="4"/>
        <v>40</v>
      </c>
      <c r="D25">
        <v>47.5</v>
      </c>
      <c r="E25">
        <f t="shared" si="5"/>
        <v>1.45</v>
      </c>
      <c r="F25">
        <v>0</v>
      </c>
      <c r="G25">
        <v>1</v>
      </c>
    </row>
    <row r="26" spans="1:7">
      <c r="A26" s="7" t="s">
        <v>67</v>
      </c>
      <c r="B26">
        <v>50</v>
      </c>
      <c r="C26">
        <f t="shared" si="4"/>
        <v>40</v>
      </c>
      <c r="D26">
        <v>47.5</v>
      </c>
      <c r="E26">
        <f t="shared" si="5"/>
        <v>1.45</v>
      </c>
      <c r="F26">
        <v>0</v>
      </c>
      <c r="G26">
        <v>1</v>
      </c>
    </row>
    <row r="27" spans="1:7">
      <c r="A27" s="7" t="s">
        <v>68</v>
      </c>
      <c r="B27">
        <v>50</v>
      </c>
      <c r="C27">
        <f t="shared" si="4"/>
        <v>40</v>
      </c>
      <c r="D27">
        <v>47.5</v>
      </c>
      <c r="E27">
        <f t="shared" si="5"/>
        <v>1.45</v>
      </c>
      <c r="F27">
        <v>0</v>
      </c>
      <c r="G27">
        <v>1</v>
      </c>
    </row>
    <row r="28" spans="1:7">
      <c r="A28" s="7" t="s">
        <v>69</v>
      </c>
      <c r="B28">
        <v>50</v>
      </c>
      <c r="C28">
        <f t="shared" si="4"/>
        <v>40</v>
      </c>
      <c r="D28">
        <v>47.5</v>
      </c>
      <c r="E28">
        <f t="shared" si="5"/>
        <v>1.45</v>
      </c>
      <c r="F28">
        <v>0</v>
      </c>
      <c r="G28">
        <v>1</v>
      </c>
    </row>
    <row r="29" spans="1:7">
      <c r="A29" s="7" t="s">
        <v>70</v>
      </c>
      <c r="B29">
        <v>50</v>
      </c>
      <c r="C29">
        <f t="shared" si="4"/>
        <v>40</v>
      </c>
      <c r="D29">
        <v>47.5</v>
      </c>
      <c r="E29">
        <f t="shared" si="5"/>
        <v>1.45</v>
      </c>
      <c r="F29">
        <v>0</v>
      </c>
      <c r="G29">
        <v>1</v>
      </c>
    </row>
    <row r="30" spans="1:7">
      <c r="A30" s="7" t="s">
        <v>71</v>
      </c>
      <c r="B30">
        <v>50</v>
      </c>
      <c r="C30">
        <f t="shared" si="4"/>
        <v>40</v>
      </c>
      <c r="D30">
        <v>47.5</v>
      </c>
      <c r="E30">
        <f t="shared" si="5"/>
        <v>1.45</v>
      </c>
      <c r="F30">
        <v>0</v>
      </c>
      <c r="G30">
        <v>1</v>
      </c>
    </row>
    <row r="31" spans="1:7">
      <c r="A31" s="7" t="s">
        <v>72</v>
      </c>
      <c r="B31">
        <v>50</v>
      </c>
      <c r="C31">
        <f t="shared" si="4"/>
        <v>40</v>
      </c>
      <c r="D31">
        <v>47.5</v>
      </c>
      <c r="E31">
        <f t="shared" si="5"/>
        <v>1.45</v>
      </c>
      <c r="F31">
        <v>0</v>
      </c>
      <c r="G31">
        <v>1</v>
      </c>
    </row>
    <row r="32" spans="1:7">
      <c r="A32" s="7" t="s">
        <v>73</v>
      </c>
      <c r="B32">
        <v>50</v>
      </c>
      <c r="C32">
        <f t="shared" si="4"/>
        <v>40</v>
      </c>
      <c r="D32">
        <v>47.5</v>
      </c>
      <c r="E32">
        <f t="shared" si="5"/>
        <v>1.45</v>
      </c>
      <c r="F32">
        <v>0</v>
      </c>
      <c r="G32">
        <v>1</v>
      </c>
    </row>
    <row r="33" spans="1:7">
      <c r="A33" s="7" t="s">
        <v>74</v>
      </c>
      <c r="B33">
        <v>50</v>
      </c>
      <c r="C33">
        <f t="shared" ref="C33:C42" si="6">50*0.8</f>
        <v>40</v>
      </c>
      <c r="D33">
        <v>47.5</v>
      </c>
      <c r="E33">
        <f t="shared" ref="E33:E42" si="7">1.45</f>
        <v>1.45</v>
      </c>
      <c r="F33">
        <v>0</v>
      </c>
      <c r="G33">
        <v>1</v>
      </c>
    </row>
    <row r="34" spans="1:7">
      <c r="A34" s="7" t="s">
        <v>75</v>
      </c>
      <c r="B34">
        <v>50</v>
      </c>
      <c r="C34">
        <f t="shared" si="6"/>
        <v>40</v>
      </c>
      <c r="D34">
        <v>47.5</v>
      </c>
      <c r="E34">
        <f t="shared" si="7"/>
        <v>1.45</v>
      </c>
      <c r="F34">
        <v>0</v>
      </c>
      <c r="G34">
        <v>1</v>
      </c>
    </row>
    <row r="35" spans="1:7">
      <c r="A35" s="7" t="s">
        <v>76</v>
      </c>
      <c r="B35">
        <v>50</v>
      </c>
      <c r="C35">
        <f t="shared" si="6"/>
        <v>40</v>
      </c>
      <c r="D35">
        <v>47.5</v>
      </c>
      <c r="E35">
        <f t="shared" si="7"/>
        <v>1.45</v>
      </c>
      <c r="F35">
        <v>0</v>
      </c>
      <c r="G35">
        <v>1</v>
      </c>
    </row>
    <row r="36" spans="1:7">
      <c r="A36" s="7" t="s">
        <v>77</v>
      </c>
      <c r="B36">
        <v>50</v>
      </c>
      <c r="C36">
        <f t="shared" si="6"/>
        <v>40</v>
      </c>
      <c r="D36">
        <v>47.5</v>
      </c>
      <c r="E36">
        <f t="shared" si="7"/>
        <v>1.45</v>
      </c>
      <c r="F36">
        <v>0</v>
      </c>
      <c r="G36">
        <v>1</v>
      </c>
    </row>
    <row r="37" spans="1:7">
      <c r="A37" s="7" t="s">
        <v>78</v>
      </c>
      <c r="B37">
        <v>50</v>
      </c>
      <c r="C37">
        <f t="shared" si="6"/>
        <v>40</v>
      </c>
      <c r="D37">
        <v>47.5</v>
      </c>
      <c r="E37">
        <f t="shared" si="7"/>
        <v>1.45</v>
      </c>
      <c r="F37">
        <v>0</v>
      </c>
      <c r="G37">
        <v>1</v>
      </c>
    </row>
    <row r="38" spans="1:7">
      <c r="A38" s="7" t="s">
        <v>79</v>
      </c>
      <c r="B38">
        <v>50</v>
      </c>
      <c r="C38">
        <f t="shared" si="6"/>
        <v>40</v>
      </c>
      <c r="D38">
        <v>47.5</v>
      </c>
      <c r="E38">
        <f t="shared" si="7"/>
        <v>1.45</v>
      </c>
      <c r="F38">
        <v>0</v>
      </c>
      <c r="G38">
        <v>1</v>
      </c>
    </row>
    <row r="39" spans="1:7">
      <c r="A39" s="7" t="s">
        <v>80</v>
      </c>
      <c r="B39">
        <v>50</v>
      </c>
      <c r="C39">
        <f t="shared" si="6"/>
        <v>40</v>
      </c>
      <c r="D39">
        <v>47.5</v>
      </c>
      <c r="E39">
        <f t="shared" si="7"/>
        <v>1.45</v>
      </c>
      <c r="F39">
        <v>0</v>
      </c>
      <c r="G39">
        <v>1</v>
      </c>
    </row>
    <row r="40" spans="1:7">
      <c r="A40" s="7" t="s">
        <v>81</v>
      </c>
      <c r="B40">
        <v>50</v>
      </c>
      <c r="C40">
        <f t="shared" si="6"/>
        <v>40</v>
      </c>
      <c r="D40">
        <v>47.5</v>
      </c>
      <c r="E40">
        <f t="shared" si="7"/>
        <v>1.45</v>
      </c>
      <c r="F40">
        <v>0</v>
      </c>
      <c r="G40">
        <v>1</v>
      </c>
    </row>
    <row r="41" spans="1:7">
      <c r="A41" s="7" t="s">
        <v>82</v>
      </c>
      <c r="B41">
        <v>50</v>
      </c>
      <c r="C41">
        <f t="shared" si="6"/>
        <v>40</v>
      </c>
      <c r="D41">
        <v>47.5</v>
      </c>
      <c r="E41">
        <f t="shared" si="7"/>
        <v>1.45</v>
      </c>
      <c r="F41">
        <v>0</v>
      </c>
      <c r="G41">
        <v>1</v>
      </c>
    </row>
    <row r="42" spans="1:7">
      <c r="A42" s="7" t="s">
        <v>83</v>
      </c>
      <c r="B42">
        <v>50</v>
      </c>
      <c r="C42">
        <f t="shared" si="6"/>
        <v>40</v>
      </c>
      <c r="D42">
        <v>47.5</v>
      </c>
      <c r="E42">
        <f t="shared" si="7"/>
        <v>1.45</v>
      </c>
      <c r="F42">
        <v>0</v>
      </c>
      <c r="G42">
        <v>1</v>
      </c>
    </row>
    <row r="43" spans="1:7">
      <c r="A43" s="7" t="s">
        <v>84</v>
      </c>
      <c r="B43">
        <v>50</v>
      </c>
      <c r="C43">
        <f t="shared" ref="C43:C52" si="8">50*0.8</f>
        <v>40</v>
      </c>
      <c r="D43">
        <v>47.5</v>
      </c>
      <c r="E43">
        <f t="shared" ref="E43:E52" si="9">1.45</f>
        <v>1.45</v>
      </c>
      <c r="F43">
        <v>0</v>
      </c>
      <c r="G43">
        <v>1</v>
      </c>
    </row>
    <row r="44" spans="1:7">
      <c r="A44" s="7" t="s">
        <v>85</v>
      </c>
      <c r="B44">
        <v>50</v>
      </c>
      <c r="C44">
        <f t="shared" si="8"/>
        <v>40</v>
      </c>
      <c r="D44">
        <v>47.5</v>
      </c>
      <c r="E44">
        <f t="shared" si="9"/>
        <v>1.45</v>
      </c>
      <c r="F44">
        <v>0</v>
      </c>
      <c r="G44">
        <v>1</v>
      </c>
    </row>
    <row r="45" spans="1:7">
      <c r="A45" s="7" t="s">
        <v>86</v>
      </c>
      <c r="B45">
        <v>50</v>
      </c>
      <c r="C45">
        <f t="shared" si="8"/>
        <v>40</v>
      </c>
      <c r="D45">
        <v>47.5</v>
      </c>
      <c r="E45">
        <f t="shared" si="9"/>
        <v>1.45</v>
      </c>
      <c r="F45">
        <v>0</v>
      </c>
      <c r="G45">
        <v>1</v>
      </c>
    </row>
    <row r="46" spans="1:7">
      <c r="A46" s="7" t="s">
        <v>87</v>
      </c>
      <c r="B46">
        <v>50</v>
      </c>
      <c r="C46">
        <f t="shared" si="8"/>
        <v>40</v>
      </c>
      <c r="D46">
        <v>47.5</v>
      </c>
      <c r="E46">
        <f t="shared" si="9"/>
        <v>1.45</v>
      </c>
      <c r="F46">
        <v>0</v>
      </c>
      <c r="G46">
        <v>1</v>
      </c>
    </row>
    <row r="47" spans="1:7">
      <c r="A47" s="7" t="s">
        <v>88</v>
      </c>
      <c r="B47">
        <v>50</v>
      </c>
      <c r="C47">
        <f t="shared" si="8"/>
        <v>40</v>
      </c>
      <c r="D47">
        <v>47.5</v>
      </c>
      <c r="E47">
        <f t="shared" si="9"/>
        <v>1.45</v>
      </c>
      <c r="F47">
        <v>0</v>
      </c>
      <c r="G47">
        <v>1</v>
      </c>
    </row>
    <row r="48" spans="1:7">
      <c r="A48" s="7" t="s">
        <v>89</v>
      </c>
      <c r="B48">
        <v>50</v>
      </c>
      <c r="C48">
        <f t="shared" si="8"/>
        <v>40</v>
      </c>
      <c r="D48">
        <v>47.5</v>
      </c>
      <c r="E48">
        <f t="shared" si="9"/>
        <v>1.45</v>
      </c>
      <c r="F48">
        <v>0</v>
      </c>
      <c r="G48">
        <v>1</v>
      </c>
    </row>
    <row r="49" spans="1:7">
      <c r="A49" s="7" t="s">
        <v>90</v>
      </c>
      <c r="B49">
        <v>50</v>
      </c>
      <c r="C49">
        <f t="shared" si="8"/>
        <v>40</v>
      </c>
      <c r="D49">
        <v>47.5</v>
      </c>
      <c r="E49">
        <f t="shared" si="9"/>
        <v>1.45</v>
      </c>
      <c r="F49">
        <v>0</v>
      </c>
      <c r="G49">
        <v>1</v>
      </c>
    </row>
    <row r="50" spans="1:7">
      <c r="A50" s="7" t="s">
        <v>91</v>
      </c>
      <c r="B50">
        <v>50</v>
      </c>
      <c r="C50">
        <f t="shared" si="8"/>
        <v>40</v>
      </c>
      <c r="D50">
        <v>47.5</v>
      </c>
      <c r="E50">
        <f t="shared" si="9"/>
        <v>1.45</v>
      </c>
      <c r="F50">
        <v>0</v>
      </c>
      <c r="G50">
        <v>1</v>
      </c>
    </row>
    <row r="51" spans="1:7">
      <c r="A51" s="7" t="s">
        <v>92</v>
      </c>
      <c r="B51">
        <v>50</v>
      </c>
      <c r="C51">
        <f t="shared" si="8"/>
        <v>40</v>
      </c>
      <c r="D51">
        <v>47.5</v>
      </c>
      <c r="E51">
        <f t="shared" si="9"/>
        <v>1.45</v>
      </c>
      <c r="F51">
        <v>0</v>
      </c>
      <c r="G51">
        <v>1</v>
      </c>
    </row>
    <row r="52" spans="1:7">
      <c r="A52" s="7" t="s">
        <v>93</v>
      </c>
      <c r="B52">
        <v>50</v>
      </c>
      <c r="C52">
        <f t="shared" si="8"/>
        <v>40</v>
      </c>
      <c r="D52">
        <v>47.5</v>
      </c>
      <c r="E52">
        <f t="shared" si="9"/>
        <v>1.45</v>
      </c>
      <c r="F52">
        <v>0</v>
      </c>
      <c r="G52">
        <v>1</v>
      </c>
    </row>
    <row r="53" spans="1:7">
      <c r="A53" s="6" t="s">
        <v>94</v>
      </c>
      <c r="B53" s="12">
        <v>95</v>
      </c>
      <c r="C53">
        <v>50</v>
      </c>
      <c r="D53">
        <f t="shared" ref="D53:D62" si="10">E53*C53</f>
        <v>7.755</v>
      </c>
      <c r="E53">
        <v>0.1551</v>
      </c>
      <c r="F53">
        <v>0</v>
      </c>
      <c r="G53">
        <v>2</v>
      </c>
    </row>
    <row r="54" spans="1:7">
      <c r="A54" s="6" t="s">
        <v>95</v>
      </c>
      <c r="B54" s="12">
        <v>38</v>
      </c>
      <c r="C54">
        <v>50</v>
      </c>
      <c r="D54">
        <f t="shared" si="10"/>
        <v>7.755</v>
      </c>
      <c r="E54">
        <v>0.1551</v>
      </c>
      <c r="F54">
        <v>0</v>
      </c>
      <c r="G54">
        <v>2</v>
      </c>
    </row>
    <row r="55" spans="1:7">
      <c r="A55" s="6" t="s">
        <v>96</v>
      </c>
      <c r="B55" s="12">
        <v>45</v>
      </c>
      <c r="C55">
        <v>50</v>
      </c>
      <c r="D55">
        <f t="shared" si="10"/>
        <v>7.755</v>
      </c>
      <c r="E55">
        <v>0.1551</v>
      </c>
      <c r="F55">
        <v>0</v>
      </c>
      <c r="G55">
        <v>2</v>
      </c>
    </row>
    <row r="56" spans="1:7">
      <c r="A56" s="6" t="s">
        <v>97</v>
      </c>
      <c r="B56" s="12">
        <v>61</v>
      </c>
      <c r="C56">
        <v>50</v>
      </c>
      <c r="D56">
        <f t="shared" si="10"/>
        <v>7.755</v>
      </c>
      <c r="E56">
        <v>0.1551</v>
      </c>
      <c r="F56">
        <v>0</v>
      </c>
      <c r="G56">
        <v>2</v>
      </c>
    </row>
    <row r="57" spans="1:7">
      <c r="A57" s="6" t="s">
        <v>98</v>
      </c>
      <c r="B57" s="12">
        <v>56</v>
      </c>
      <c r="C57">
        <v>50</v>
      </c>
      <c r="D57">
        <f t="shared" si="10"/>
        <v>7.755</v>
      </c>
      <c r="E57">
        <v>0.1551</v>
      </c>
      <c r="F57">
        <v>0</v>
      </c>
      <c r="G57">
        <v>2</v>
      </c>
    </row>
    <row r="58" spans="1:7">
      <c r="A58" s="6" t="s">
        <v>99</v>
      </c>
      <c r="B58" s="12">
        <v>66</v>
      </c>
      <c r="C58">
        <v>50</v>
      </c>
      <c r="D58">
        <f t="shared" si="10"/>
        <v>7.755</v>
      </c>
      <c r="E58">
        <v>0.1551</v>
      </c>
      <c r="F58">
        <v>0</v>
      </c>
      <c r="G58">
        <v>2</v>
      </c>
    </row>
    <row r="59" spans="1:7">
      <c r="A59" s="6" t="s">
        <v>100</v>
      </c>
      <c r="B59" s="12">
        <v>69</v>
      </c>
      <c r="C59">
        <v>50</v>
      </c>
      <c r="D59">
        <f t="shared" si="10"/>
        <v>7.755</v>
      </c>
      <c r="E59">
        <v>0.1551</v>
      </c>
      <c r="F59">
        <v>0</v>
      </c>
      <c r="G59">
        <v>2</v>
      </c>
    </row>
    <row r="60" spans="1:7">
      <c r="A60" s="6" t="s">
        <v>101</v>
      </c>
      <c r="B60" s="12">
        <v>93</v>
      </c>
      <c r="C60">
        <v>50</v>
      </c>
      <c r="D60">
        <f t="shared" si="10"/>
        <v>7.755</v>
      </c>
      <c r="E60">
        <v>0.1551</v>
      </c>
      <c r="F60">
        <v>0</v>
      </c>
      <c r="G60">
        <v>2</v>
      </c>
    </row>
    <row r="61" spans="1:7">
      <c r="A61" s="6" t="s">
        <v>102</v>
      </c>
      <c r="B61" s="12">
        <v>76</v>
      </c>
      <c r="C61">
        <v>50</v>
      </c>
      <c r="D61">
        <f t="shared" si="10"/>
        <v>7.755</v>
      </c>
      <c r="E61">
        <v>0.1551</v>
      </c>
      <c r="F61">
        <v>0</v>
      </c>
      <c r="G61">
        <v>2</v>
      </c>
    </row>
    <row r="62" spans="1:7">
      <c r="A62" s="6" t="s">
        <v>103</v>
      </c>
      <c r="B62" s="12">
        <v>87</v>
      </c>
      <c r="C62">
        <v>50</v>
      </c>
      <c r="D62">
        <f t="shared" si="10"/>
        <v>7.755</v>
      </c>
      <c r="E62">
        <v>0.1551</v>
      </c>
      <c r="F62">
        <v>0</v>
      </c>
      <c r="G62">
        <v>2</v>
      </c>
    </row>
    <row r="63" spans="1:7">
      <c r="A63" s="6" t="s">
        <v>104</v>
      </c>
      <c r="B63">
        <v>1000</v>
      </c>
      <c r="C63">
        <v>40</v>
      </c>
      <c r="D63">
        <v>50.584</v>
      </c>
      <c r="E63">
        <v>0.6323</v>
      </c>
      <c r="F63">
        <v>0</v>
      </c>
      <c r="G63">
        <v>3</v>
      </c>
    </row>
    <row r="64" spans="1:7">
      <c r="A64" s="6" t="s">
        <v>105</v>
      </c>
      <c r="B64">
        <v>1000</v>
      </c>
      <c r="C64">
        <v>40</v>
      </c>
      <c r="D64">
        <v>50.584</v>
      </c>
      <c r="E64">
        <v>0.6323</v>
      </c>
      <c r="F64">
        <v>0</v>
      </c>
      <c r="G64">
        <v>3</v>
      </c>
    </row>
    <row r="65" spans="1:7">
      <c r="A65" s="6" t="s">
        <v>106</v>
      </c>
      <c r="B65">
        <v>1000</v>
      </c>
      <c r="C65">
        <v>40</v>
      </c>
      <c r="D65">
        <v>50.584</v>
      </c>
      <c r="E65">
        <v>0.6323</v>
      </c>
      <c r="F65">
        <v>0</v>
      </c>
      <c r="G65">
        <v>3</v>
      </c>
    </row>
    <row r="66" spans="1:7">
      <c r="A66" s="6" t="s">
        <v>107</v>
      </c>
      <c r="B66">
        <v>1000</v>
      </c>
      <c r="C66">
        <v>40</v>
      </c>
      <c r="D66">
        <v>50.584</v>
      </c>
      <c r="E66">
        <v>0.6323</v>
      </c>
      <c r="F66">
        <v>0</v>
      </c>
      <c r="G66">
        <v>3</v>
      </c>
    </row>
    <row r="67" spans="1:7">
      <c r="A67" s="6" t="s">
        <v>108</v>
      </c>
      <c r="B67">
        <v>1000</v>
      </c>
      <c r="C67">
        <v>40</v>
      </c>
      <c r="D67">
        <v>50.584</v>
      </c>
      <c r="E67">
        <v>0.6323</v>
      </c>
      <c r="F67">
        <v>0</v>
      </c>
      <c r="G67">
        <v>3</v>
      </c>
    </row>
    <row r="68" spans="1:7">
      <c r="A68" s="6" t="s">
        <v>109</v>
      </c>
      <c r="B68">
        <v>1000</v>
      </c>
      <c r="C68">
        <v>40</v>
      </c>
      <c r="D68">
        <v>50.584</v>
      </c>
      <c r="E68">
        <v>0.6323</v>
      </c>
      <c r="F68">
        <v>0</v>
      </c>
      <c r="G68">
        <v>3</v>
      </c>
    </row>
    <row r="69" spans="1:7">
      <c r="A69" s="6" t="s">
        <v>110</v>
      </c>
      <c r="B69">
        <v>1000</v>
      </c>
      <c r="C69">
        <v>40</v>
      </c>
      <c r="D69">
        <v>50.584</v>
      </c>
      <c r="E69">
        <v>0.6323</v>
      </c>
      <c r="F69">
        <v>0</v>
      </c>
      <c r="G69">
        <v>3</v>
      </c>
    </row>
    <row r="70" spans="1:7">
      <c r="A70" s="6" t="s">
        <v>111</v>
      </c>
      <c r="B70">
        <v>1000</v>
      </c>
      <c r="C70">
        <v>40</v>
      </c>
      <c r="D70">
        <v>50.584</v>
      </c>
      <c r="E70">
        <v>0.6323</v>
      </c>
      <c r="F70">
        <v>0</v>
      </c>
      <c r="G70">
        <v>3</v>
      </c>
    </row>
    <row r="71" spans="1:7">
      <c r="A71" s="6" t="s">
        <v>112</v>
      </c>
      <c r="B71">
        <v>1000</v>
      </c>
      <c r="C71">
        <v>40</v>
      </c>
      <c r="D71">
        <v>50.584</v>
      </c>
      <c r="E71">
        <v>0.6323</v>
      </c>
      <c r="F71">
        <v>0</v>
      </c>
      <c r="G71">
        <v>3</v>
      </c>
    </row>
    <row r="72" spans="1:7">
      <c r="A72" s="6" t="s">
        <v>113</v>
      </c>
      <c r="B72">
        <v>1000</v>
      </c>
      <c r="C72">
        <v>40</v>
      </c>
      <c r="D72">
        <v>50.584</v>
      </c>
      <c r="E72">
        <v>0.6323</v>
      </c>
      <c r="F72">
        <v>0</v>
      </c>
      <c r="G72">
        <v>3</v>
      </c>
    </row>
    <row r="73" spans="1:7">
      <c r="A73" s="6" t="s">
        <v>114</v>
      </c>
      <c r="B73">
        <v>1000</v>
      </c>
      <c r="C73">
        <v>40</v>
      </c>
      <c r="D73">
        <v>50.584</v>
      </c>
      <c r="E73">
        <v>0.6323</v>
      </c>
      <c r="F73">
        <v>0</v>
      </c>
      <c r="G73">
        <v>3</v>
      </c>
    </row>
    <row r="74" spans="1:7">
      <c r="A74" s="6" t="s">
        <v>115</v>
      </c>
      <c r="B74">
        <v>1000</v>
      </c>
      <c r="C74">
        <v>40</v>
      </c>
      <c r="D74">
        <v>50.584</v>
      </c>
      <c r="E74">
        <v>0.6323</v>
      </c>
      <c r="F74">
        <v>0</v>
      </c>
      <c r="G74">
        <v>3</v>
      </c>
    </row>
    <row r="75" spans="1:7">
      <c r="A75" s="6" t="s">
        <v>116</v>
      </c>
      <c r="B75">
        <v>1000</v>
      </c>
      <c r="C75">
        <v>40</v>
      </c>
      <c r="D75">
        <v>50.584</v>
      </c>
      <c r="E75">
        <v>0.6323</v>
      </c>
      <c r="F75">
        <v>0</v>
      </c>
      <c r="G75">
        <v>3</v>
      </c>
    </row>
    <row r="76" spans="1:7">
      <c r="A76" s="6" t="s">
        <v>117</v>
      </c>
      <c r="B76">
        <v>1000</v>
      </c>
      <c r="C76">
        <v>40</v>
      </c>
      <c r="D76">
        <v>50.584</v>
      </c>
      <c r="E76">
        <v>0.6323</v>
      </c>
      <c r="F76">
        <v>0</v>
      </c>
      <c r="G76">
        <v>3</v>
      </c>
    </row>
    <row r="77" spans="1:7">
      <c r="A77" s="6" t="s">
        <v>118</v>
      </c>
      <c r="B77">
        <v>1000</v>
      </c>
      <c r="C77">
        <v>40</v>
      </c>
      <c r="D77">
        <v>50.584</v>
      </c>
      <c r="E77">
        <v>0.6323</v>
      </c>
      <c r="F77">
        <v>0</v>
      </c>
      <c r="G77">
        <v>3</v>
      </c>
    </row>
    <row r="78" spans="1:7">
      <c r="A78" s="6" t="s">
        <v>119</v>
      </c>
      <c r="B78">
        <v>1000</v>
      </c>
      <c r="C78">
        <v>40</v>
      </c>
      <c r="D78">
        <v>50.584</v>
      </c>
      <c r="E78">
        <v>0.6323</v>
      </c>
      <c r="F78">
        <v>0</v>
      </c>
      <c r="G78">
        <v>3</v>
      </c>
    </row>
    <row r="79" spans="1:7">
      <c r="A79" s="6" t="s">
        <v>120</v>
      </c>
      <c r="B79">
        <v>1000</v>
      </c>
      <c r="C79">
        <v>40</v>
      </c>
      <c r="D79">
        <v>50.584</v>
      </c>
      <c r="E79">
        <v>0.6323</v>
      </c>
      <c r="F79">
        <v>0</v>
      </c>
      <c r="G79">
        <v>3</v>
      </c>
    </row>
    <row r="80" spans="1:7">
      <c r="A80" s="6" t="s">
        <v>121</v>
      </c>
      <c r="B80">
        <v>1000</v>
      </c>
      <c r="C80">
        <v>40</v>
      </c>
      <c r="D80">
        <v>50.584</v>
      </c>
      <c r="E80">
        <v>0.6323</v>
      </c>
      <c r="F80">
        <v>0</v>
      </c>
      <c r="G80">
        <v>3</v>
      </c>
    </row>
    <row r="81" spans="1:7">
      <c r="A81" s="6" t="s">
        <v>122</v>
      </c>
      <c r="B81">
        <v>1000</v>
      </c>
      <c r="C81">
        <v>40</v>
      </c>
      <c r="D81">
        <v>50.584</v>
      </c>
      <c r="E81">
        <v>0.6323</v>
      </c>
      <c r="F81">
        <v>0</v>
      </c>
      <c r="G81">
        <v>3</v>
      </c>
    </row>
    <row r="82" spans="1:7">
      <c r="A82" s="6" t="s">
        <v>123</v>
      </c>
      <c r="B82">
        <v>1000</v>
      </c>
      <c r="C82">
        <v>40</v>
      </c>
      <c r="D82">
        <v>50.584</v>
      </c>
      <c r="E82">
        <v>0.6323</v>
      </c>
      <c r="F82">
        <v>0</v>
      </c>
      <c r="G82">
        <v>3</v>
      </c>
    </row>
    <row r="83" spans="1:7">
      <c r="A83" s="6" t="s">
        <v>124</v>
      </c>
      <c r="B83">
        <v>1000</v>
      </c>
      <c r="C83">
        <v>40</v>
      </c>
      <c r="D83">
        <v>50.584</v>
      </c>
      <c r="E83">
        <v>0.6323</v>
      </c>
      <c r="F83">
        <v>0</v>
      </c>
      <c r="G83">
        <v>3</v>
      </c>
    </row>
    <row r="84" spans="1:7">
      <c r="A84" s="6" t="s">
        <v>125</v>
      </c>
      <c r="B84">
        <v>1000</v>
      </c>
      <c r="C84">
        <v>40</v>
      </c>
      <c r="D84">
        <v>50.584</v>
      </c>
      <c r="E84">
        <v>0.6323</v>
      </c>
      <c r="F84">
        <v>0</v>
      </c>
      <c r="G84">
        <v>3</v>
      </c>
    </row>
    <row r="85" spans="1:7">
      <c r="A85" s="6" t="s">
        <v>126</v>
      </c>
      <c r="B85">
        <v>1000</v>
      </c>
      <c r="C85">
        <v>40</v>
      </c>
      <c r="D85">
        <v>50.584</v>
      </c>
      <c r="E85">
        <v>0.6323</v>
      </c>
      <c r="F85">
        <v>0</v>
      </c>
      <c r="G85">
        <v>3</v>
      </c>
    </row>
    <row r="86" spans="1:7">
      <c r="A86" s="6" t="s">
        <v>127</v>
      </c>
      <c r="B86">
        <v>1000</v>
      </c>
      <c r="C86">
        <v>40</v>
      </c>
      <c r="D86">
        <v>50.584</v>
      </c>
      <c r="E86">
        <v>0.6323</v>
      </c>
      <c r="F86">
        <v>0</v>
      </c>
      <c r="G86">
        <v>3</v>
      </c>
    </row>
    <row r="87" spans="1:7">
      <c r="A87" s="6" t="s">
        <v>128</v>
      </c>
      <c r="B87">
        <v>1000</v>
      </c>
      <c r="C87">
        <v>40</v>
      </c>
      <c r="D87">
        <v>50.584</v>
      </c>
      <c r="E87">
        <v>0.6323</v>
      </c>
      <c r="F87">
        <v>0</v>
      </c>
      <c r="G87">
        <v>3</v>
      </c>
    </row>
    <row r="88" spans="1:7">
      <c r="A88" s="6" t="s">
        <v>129</v>
      </c>
      <c r="B88">
        <v>1000</v>
      </c>
      <c r="C88">
        <v>40</v>
      </c>
      <c r="D88">
        <v>50.584</v>
      </c>
      <c r="E88">
        <v>0.6323</v>
      </c>
      <c r="F88">
        <v>0</v>
      </c>
      <c r="G88">
        <v>3</v>
      </c>
    </row>
    <row r="89" spans="1:7">
      <c r="A89" s="6" t="s">
        <v>130</v>
      </c>
      <c r="B89">
        <v>1000</v>
      </c>
      <c r="C89">
        <v>40</v>
      </c>
      <c r="D89">
        <v>50.584</v>
      </c>
      <c r="E89">
        <v>0.6323</v>
      </c>
      <c r="F89">
        <v>0</v>
      </c>
      <c r="G89">
        <v>3</v>
      </c>
    </row>
    <row r="90" spans="1:7">
      <c r="A90" s="6" t="s">
        <v>131</v>
      </c>
      <c r="B90">
        <v>1000</v>
      </c>
      <c r="C90">
        <v>40</v>
      </c>
      <c r="D90">
        <v>50.584</v>
      </c>
      <c r="E90">
        <v>0.6323</v>
      </c>
      <c r="F90">
        <v>0</v>
      </c>
      <c r="G90">
        <v>3</v>
      </c>
    </row>
    <row r="91" spans="1:7">
      <c r="A91" s="6" t="s">
        <v>132</v>
      </c>
      <c r="B91">
        <v>1000</v>
      </c>
      <c r="C91">
        <v>40</v>
      </c>
      <c r="D91">
        <v>50.584</v>
      </c>
      <c r="E91">
        <v>0.6323</v>
      </c>
      <c r="F91">
        <v>0</v>
      </c>
      <c r="G91">
        <v>3</v>
      </c>
    </row>
    <row r="92" spans="1:7">
      <c r="A92" s="6" t="s">
        <v>133</v>
      </c>
      <c r="B92">
        <v>1000</v>
      </c>
      <c r="C92">
        <v>40</v>
      </c>
      <c r="D92">
        <v>50.584</v>
      </c>
      <c r="E92">
        <v>0.6323</v>
      </c>
      <c r="F92">
        <v>0</v>
      </c>
      <c r="G92">
        <v>3</v>
      </c>
    </row>
    <row r="93" spans="1:7">
      <c r="A93" s="6" t="s">
        <v>134</v>
      </c>
      <c r="B93">
        <v>1000</v>
      </c>
      <c r="C93">
        <v>40</v>
      </c>
      <c r="D93">
        <v>50.584</v>
      </c>
      <c r="E93">
        <v>0.6323</v>
      </c>
      <c r="F93">
        <v>0</v>
      </c>
      <c r="G93">
        <v>3</v>
      </c>
    </row>
    <row r="94" spans="1:7">
      <c r="A94" s="6" t="s">
        <v>135</v>
      </c>
      <c r="B94">
        <v>1000</v>
      </c>
      <c r="C94">
        <v>40</v>
      </c>
      <c r="D94">
        <v>50.584</v>
      </c>
      <c r="E94">
        <v>0.6323</v>
      </c>
      <c r="F94">
        <v>0</v>
      </c>
      <c r="G94">
        <v>3</v>
      </c>
    </row>
    <row r="95" spans="1:7">
      <c r="A95" s="6" t="s">
        <v>136</v>
      </c>
      <c r="B95">
        <v>1000</v>
      </c>
      <c r="C95">
        <v>40</v>
      </c>
      <c r="D95">
        <v>50.584</v>
      </c>
      <c r="E95">
        <v>0.6323</v>
      </c>
      <c r="F95">
        <v>0</v>
      </c>
      <c r="G95">
        <v>3</v>
      </c>
    </row>
    <row r="96" spans="1:7">
      <c r="A96" s="6" t="s">
        <v>137</v>
      </c>
      <c r="B96">
        <v>1000</v>
      </c>
      <c r="C96">
        <v>40</v>
      </c>
      <c r="D96">
        <v>50.584</v>
      </c>
      <c r="E96">
        <v>0.6323</v>
      </c>
      <c r="F96">
        <v>0</v>
      </c>
      <c r="G96">
        <v>3</v>
      </c>
    </row>
    <row r="97" spans="2:2">
      <c r="B97" s="12"/>
    </row>
    <row r="98" spans="2:2">
      <c r="B98" s="12"/>
    </row>
  </sheetData>
  <pageMargins left="0.7" right="0.7" top="0.75" bottom="0.75" header="0.3" footer="0.3"/>
  <pageSetup paperSize="1" orientation="portrait" horizontalDpi="1200" verticalDpi="1200"/>
  <headerFooter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96"/>
  <sheetViews>
    <sheetView zoomScale="115" zoomScaleNormal="115" workbookViewId="0">
      <selection activeCell="B2" sqref="B2:C52"/>
    </sheetView>
  </sheetViews>
  <sheetFormatPr defaultColWidth="8.79646017699115" defaultRowHeight="13.85" outlineLevelCol="4"/>
  <cols>
    <col min="1" max="1" width="13.7964601769912" style="6" customWidth="1"/>
    <col min="2" max="2" width="13.6637168141593" style="6" customWidth="1"/>
    <col min="3" max="3" width="13.141592920354" style="6" customWidth="1"/>
    <col min="4" max="4" width="13.6637168141593" style="6" customWidth="1"/>
    <col min="5" max="5" width="13.141592920354" style="6" customWidth="1"/>
  </cols>
  <sheetData>
    <row r="1" spans="1:3">
      <c r="A1" s="6" t="s">
        <v>36</v>
      </c>
      <c r="B1" s="6" t="s">
        <v>138</v>
      </c>
      <c r="C1" s="6" t="s">
        <v>139</v>
      </c>
    </row>
    <row r="2" spans="1:3">
      <c r="A2" s="7" t="s">
        <v>43</v>
      </c>
      <c r="B2" s="8" t="s">
        <v>17</v>
      </c>
      <c r="C2" s="9" t="s">
        <v>18</v>
      </c>
    </row>
    <row r="3" spans="1:3">
      <c r="A3" s="7" t="s">
        <v>44</v>
      </c>
      <c r="B3" s="8" t="s">
        <v>17</v>
      </c>
      <c r="C3" s="9" t="s">
        <v>19</v>
      </c>
    </row>
    <row r="4" spans="1:3">
      <c r="A4" s="7" t="s">
        <v>45</v>
      </c>
      <c r="B4" s="8" t="s">
        <v>17</v>
      </c>
      <c r="C4" s="9" t="s">
        <v>20</v>
      </c>
    </row>
    <row r="5" spans="1:3">
      <c r="A5" s="7" t="s">
        <v>46</v>
      </c>
      <c r="B5" s="8" t="s">
        <v>17</v>
      </c>
      <c r="C5" s="9" t="s">
        <v>21</v>
      </c>
    </row>
    <row r="6" spans="1:3">
      <c r="A6" s="7" t="s">
        <v>47</v>
      </c>
      <c r="B6" s="8" t="s">
        <v>17</v>
      </c>
      <c r="C6" s="9" t="s">
        <v>22</v>
      </c>
    </row>
    <row r="7" spans="1:3">
      <c r="A7" s="7" t="s">
        <v>48</v>
      </c>
      <c r="B7" s="8" t="s">
        <v>17</v>
      </c>
      <c r="C7" s="6" t="s">
        <v>15</v>
      </c>
    </row>
    <row r="8" spans="1:3">
      <c r="A8" s="7" t="s">
        <v>49</v>
      </c>
      <c r="B8" s="10" t="s">
        <v>14</v>
      </c>
      <c r="C8" s="9" t="s">
        <v>26</v>
      </c>
    </row>
    <row r="9" spans="1:3">
      <c r="A9" s="7" t="s">
        <v>50</v>
      </c>
      <c r="B9" s="10" t="s">
        <v>14</v>
      </c>
      <c r="C9" s="9" t="s">
        <v>27</v>
      </c>
    </row>
    <row r="10" spans="1:3">
      <c r="A10" s="7" t="s">
        <v>51</v>
      </c>
      <c r="B10" s="10" t="s">
        <v>14</v>
      </c>
      <c r="C10" s="9" t="s">
        <v>28</v>
      </c>
    </row>
    <row r="11" spans="1:3">
      <c r="A11" s="7" t="s">
        <v>52</v>
      </c>
      <c r="B11" s="10" t="s">
        <v>14</v>
      </c>
      <c r="C11" s="9" t="s">
        <v>29</v>
      </c>
    </row>
    <row r="12" spans="1:3">
      <c r="A12" s="7" t="s">
        <v>53</v>
      </c>
      <c r="B12" s="9" t="s">
        <v>23</v>
      </c>
      <c r="C12" s="9" t="s">
        <v>24</v>
      </c>
    </row>
    <row r="13" spans="1:3">
      <c r="A13" s="7" t="s">
        <v>54</v>
      </c>
      <c r="B13" s="9" t="s">
        <v>23</v>
      </c>
      <c r="C13" s="9" t="s">
        <v>25</v>
      </c>
    </row>
    <row r="14" spans="1:3">
      <c r="A14" s="7" t="s">
        <v>55</v>
      </c>
      <c r="B14" s="9" t="s">
        <v>23</v>
      </c>
      <c r="C14" s="6" t="s">
        <v>16</v>
      </c>
    </row>
    <row r="15" spans="1:3">
      <c r="A15" s="7" t="s">
        <v>56</v>
      </c>
      <c r="B15" s="9" t="s">
        <v>30</v>
      </c>
      <c r="C15" s="9" t="s">
        <v>31</v>
      </c>
    </row>
    <row r="16" spans="1:3">
      <c r="A16" s="7" t="s">
        <v>57</v>
      </c>
      <c r="B16" s="9" t="s">
        <v>30</v>
      </c>
      <c r="C16" s="9" t="s">
        <v>32</v>
      </c>
    </row>
    <row r="17" spans="1:3">
      <c r="A17" s="7" t="s">
        <v>58</v>
      </c>
      <c r="B17" s="9" t="s">
        <v>30</v>
      </c>
      <c r="C17" s="9" t="s">
        <v>33</v>
      </c>
    </row>
    <row r="18" spans="1:3">
      <c r="A18" s="7" t="s">
        <v>59</v>
      </c>
      <c r="B18" s="9" t="s">
        <v>30</v>
      </c>
      <c r="C18" s="9" t="s">
        <v>34</v>
      </c>
    </row>
    <row r="19" spans="1:3">
      <c r="A19" s="7" t="s">
        <v>60</v>
      </c>
      <c r="B19" s="8" t="s">
        <v>17</v>
      </c>
      <c r="C19" s="9" t="s">
        <v>18</v>
      </c>
    </row>
    <row r="20" spans="1:3">
      <c r="A20" s="7" t="s">
        <v>61</v>
      </c>
      <c r="B20" s="8" t="s">
        <v>17</v>
      </c>
      <c r="C20" s="9" t="s">
        <v>19</v>
      </c>
    </row>
    <row r="21" spans="1:3">
      <c r="A21" s="7" t="s">
        <v>62</v>
      </c>
      <c r="B21" s="8" t="s">
        <v>17</v>
      </c>
      <c r="C21" s="9" t="s">
        <v>20</v>
      </c>
    </row>
    <row r="22" spans="1:3">
      <c r="A22" s="7" t="s">
        <v>63</v>
      </c>
      <c r="B22" s="8" t="s">
        <v>17</v>
      </c>
      <c r="C22" s="9" t="s">
        <v>21</v>
      </c>
    </row>
    <row r="23" spans="1:3">
      <c r="A23" s="7" t="s">
        <v>64</v>
      </c>
      <c r="B23" s="8" t="s">
        <v>17</v>
      </c>
      <c r="C23" s="9" t="s">
        <v>22</v>
      </c>
    </row>
    <row r="24" spans="1:3">
      <c r="A24" s="7" t="s">
        <v>65</v>
      </c>
      <c r="B24" s="8" t="s">
        <v>17</v>
      </c>
      <c r="C24" s="6" t="s">
        <v>15</v>
      </c>
    </row>
    <row r="25" spans="1:3">
      <c r="A25" s="7" t="s">
        <v>66</v>
      </c>
      <c r="B25" s="10" t="s">
        <v>14</v>
      </c>
      <c r="C25" s="9" t="s">
        <v>26</v>
      </c>
    </row>
    <row r="26" spans="1:3">
      <c r="A26" s="7" t="s">
        <v>67</v>
      </c>
      <c r="B26" s="10" t="s">
        <v>14</v>
      </c>
      <c r="C26" s="9" t="s">
        <v>27</v>
      </c>
    </row>
    <row r="27" spans="1:3">
      <c r="A27" s="7" t="s">
        <v>68</v>
      </c>
      <c r="B27" s="10" t="s">
        <v>14</v>
      </c>
      <c r="C27" s="9" t="s">
        <v>28</v>
      </c>
    </row>
    <row r="28" spans="1:3">
      <c r="A28" s="7" t="s">
        <v>69</v>
      </c>
      <c r="B28" s="10" t="s">
        <v>14</v>
      </c>
      <c r="C28" s="9" t="s">
        <v>29</v>
      </c>
    </row>
    <row r="29" spans="1:3">
      <c r="A29" s="7" t="s">
        <v>70</v>
      </c>
      <c r="B29" s="9" t="s">
        <v>23</v>
      </c>
      <c r="C29" s="9" t="s">
        <v>24</v>
      </c>
    </row>
    <row r="30" spans="1:3">
      <c r="A30" s="7" t="s">
        <v>71</v>
      </c>
      <c r="B30" s="9" t="s">
        <v>23</v>
      </c>
      <c r="C30" s="9" t="s">
        <v>25</v>
      </c>
    </row>
    <row r="31" spans="1:3">
      <c r="A31" s="7" t="s">
        <v>72</v>
      </c>
      <c r="B31" s="9" t="s">
        <v>23</v>
      </c>
      <c r="C31" s="6" t="s">
        <v>16</v>
      </c>
    </row>
    <row r="32" spans="1:3">
      <c r="A32" s="7" t="s">
        <v>73</v>
      </c>
      <c r="B32" s="9" t="s">
        <v>30</v>
      </c>
      <c r="C32" s="9" t="s">
        <v>31</v>
      </c>
    </row>
    <row r="33" spans="1:3">
      <c r="A33" s="7" t="s">
        <v>74</v>
      </c>
      <c r="B33" s="9" t="s">
        <v>30</v>
      </c>
      <c r="C33" s="9" t="s">
        <v>32</v>
      </c>
    </row>
    <row r="34" spans="1:3">
      <c r="A34" s="7" t="s">
        <v>75</v>
      </c>
      <c r="B34" s="9" t="s">
        <v>30</v>
      </c>
      <c r="C34" s="9" t="s">
        <v>33</v>
      </c>
    </row>
    <row r="35" spans="1:4">
      <c r="A35" s="7" t="s">
        <v>76</v>
      </c>
      <c r="B35" s="9" t="s">
        <v>30</v>
      </c>
      <c r="C35" s="9" t="s">
        <v>34</v>
      </c>
      <c r="D35" s="11"/>
    </row>
    <row r="36" spans="1:4">
      <c r="A36" s="7" t="s">
        <v>77</v>
      </c>
      <c r="B36" s="8" t="s">
        <v>17</v>
      </c>
      <c r="C36" s="9" t="s">
        <v>18</v>
      </c>
      <c r="D36" s="11"/>
    </row>
    <row r="37" spans="1:4">
      <c r="A37" s="7" t="s">
        <v>78</v>
      </c>
      <c r="B37" s="8" t="s">
        <v>17</v>
      </c>
      <c r="C37" s="9" t="s">
        <v>19</v>
      </c>
      <c r="D37" s="11"/>
    </row>
    <row r="38" spans="1:4">
      <c r="A38" s="7" t="s">
        <v>79</v>
      </c>
      <c r="B38" s="8" t="s">
        <v>17</v>
      </c>
      <c r="C38" s="9" t="s">
        <v>20</v>
      </c>
      <c r="D38" s="11"/>
    </row>
    <row r="39" spans="1:4">
      <c r="A39" s="7" t="s">
        <v>80</v>
      </c>
      <c r="B39" s="8" t="s">
        <v>17</v>
      </c>
      <c r="C39" s="9" t="s">
        <v>21</v>
      </c>
      <c r="D39" s="11"/>
    </row>
    <row r="40" spans="1:4">
      <c r="A40" s="7" t="s">
        <v>81</v>
      </c>
      <c r="B40" s="8" t="s">
        <v>17</v>
      </c>
      <c r="C40" s="9" t="s">
        <v>22</v>
      </c>
      <c r="D40" s="11"/>
    </row>
    <row r="41" spans="1:4">
      <c r="A41" s="7" t="s">
        <v>82</v>
      </c>
      <c r="B41" s="8" t="s">
        <v>17</v>
      </c>
      <c r="C41" s="6" t="s">
        <v>15</v>
      </c>
      <c r="D41" s="11"/>
    </row>
    <row r="42" spans="1:4">
      <c r="A42" s="7" t="s">
        <v>83</v>
      </c>
      <c r="B42" s="10" t="s">
        <v>14</v>
      </c>
      <c r="C42" s="9" t="s">
        <v>26</v>
      </c>
      <c r="D42" s="11"/>
    </row>
    <row r="43" spans="1:4">
      <c r="A43" s="7" t="s">
        <v>84</v>
      </c>
      <c r="B43" s="10" t="s">
        <v>14</v>
      </c>
      <c r="C43" s="9" t="s">
        <v>27</v>
      </c>
      <c r="D43" s="11"/>
    </row>
    <row r="44" spans="1:4">
      <c r="A44" s="7" t="s">
        <v>85</v>
      </c>
      <c r="B44" s="10" t="s">
        <v>14</v>
      </c>
      <c r="C44" s="9" t="s">
        <v>28</v>
      </c>
      <c r="D44" s="11"/>
    </row>
    <row r="45" spans="1:4">
      <c r="A45" s="7" t="s">
        <v>86</v>
      </c>
      <c r="B45" s="10" t="s">
        <v>14</v>
      </c>
      <c r="C45" s="9" t="s">
        <v>29</v>
      </c>
      <c r="D45" s="11"/>
    </row>
    <row r="46" spans="1:4">
      <c r="A46" s="7" t="s">
        <v>87</v>
      </c>
      <c r="B46" s="9" t="s">
        <v>23</v>
      </c>
      <c r="C46" s="9" t="s">
        <v>24</v>
      </c>
      <c r="D46" s="11"/>
    </row>
    <row r="47" spans="1:4">
      <c r="A47" s="7" t="s">
        <v>88</v>
      </c>
      <c r="B47" s="9" t="s">
        <v>23</v>
      </c>
      <c r="C47" s="9" t="s">
        <v>25</v>
      </c>
      <c r="D47" s="11"/>
    </row>
    <row r="48" spans="1:4">
      <c r="A48" s="7" t="s">
        <v>89</v>
      </c>
      <c r="B48" s="9" t="s">
        <v>23</v>
      </c>
      <c r="C48" s="6" t="s">
        <v>16</v>
      </c>
      <c r="D48" s="11"/>
    </row>
    <row r="49" spans="1:4">
      <c r="A49" s="7" t="s">
        <v>90</v>
      </c>
      <c r="B49" s="9" t="s">
        <v>30</v>
      </c>
      <c r="C49" s="9" t="s">
        <v>31</v>
      </c>
      <c r="D49" s="11"/>
    </row>
    <row r="50" spans="1:4">
      <c r="A50" s="7" t="s">
        <v>91</v>
      </c>
      <c r="B50" s="9" t="s">
        <v>30</v>
      </c>
      <c r="C50" s="9" t="s">
        <v>32</v>
      </c>
      <c r="D50" s="11"/>
    </row>
    <row r="51" spans="1:4">
      <c r="A51" s="7" t="s">
        <v>92</v>
      </c>
      <c r="B51" s="9" t="s">
        <v>30</v>
      </c>
      <c r="C51" s="9" t="s">
        <v>33</v>
      </c>
      <c r="D51" s="11"/>
    </row>
    <row r="52" spans="1:4">
      <c r="A52" s="7" t="s">
        <v>93</v>
      </c>
      <c r="B52" s="9" t="s">
        <v>30</v>
      </c>
      <c r="C52" s="9" t="s">
        <v>34</v>
      </c>
      <c r="D52" s="11"/>
    </row>
    <row r="53" spans="1:5">
      <c r="A53" s="6" t="s">
        <v>94</v>
      </c>
      <c r="B53" s="11" t="s">
        <v>4</v>
      </c>
      <c r="C53" s="6" t="s">
        <v>1</v>
      </c>
      <c r="D53" s="11"/>
      <c r="E53" s="11"/>
    </row>
    <row r="54" spans="1:5">
      <c r="A54" s="6" t="s">
        <v>95</v>
      </c>
      <c r="B54" s="11" t="s">
        <v>4</v>
      </c>
      <c r="C54" s="6" t="s">
        <v>1</v>
      </c>
      <c r="D54" s="11"/>
      <c r="E54" s="11"/>
    </row>
    <row r="55" spans="1:5">
      <c r="A55" s="6" t="s">
        <v>96</v>
      </c>
      <c r="B55" s="11" t="s">
        <v>4</v>
      </c>
      <c r="C55" s="6" t="s">
        <v>1</v>
      </c>
      <c r="D55" s="10"/>
      <c r="E55" s="10"/>
    </row>
    <row r="56" spans="1:5">
      <c r="A56" s="6" t="s">
        <v>97</v>
      </c>
      <c r="B56" s="11" t="s">
        <v>4</v>
      </c>
      <c r="C56" s="6" t="s">
        <v>1</v>
      </c>
      <c r="D56" s="11"/>
      <c r="E56" s="10"/>
    </row>
    <row r="57" spans="1:5">
      <c r="A57" s="6" t="s">
        <v>98</v>
      </c>
      <c r="B57" s="11" t="s">
        <v>4</v>
      </c>
      <c r="C57" s="6" t="s">
        <v>1</v>
      </c>
      <c r="D57" s="10"/>
      <c r="E57" s="10"/>
    </row>
    <row r="58" spans="1:4">
      <c r="A58" s="6" t="s">
        <v>99</v>
      </c>
      <c r="B58" s="11" t="s">
        <v>4</v>
      </c>
      <c r="C58" s="6" t="s">
        <v>1</v>
      </c>
      <c r="D58" s="10"/>
    </row>
    <row r="59" spans="1:4">
      <c r="A59" s="6" t="s">
        <v>100</v>
      </c>
      <c r="B59" s="11" t="s">
        <v>4</v>
      </c>
      <c r="C59" s="6" t="s">
        <v>1</v>
      </c>
      <c r="D59" s="10"/>
    </row>
    <row r="60" spans="1:5">
      <c r="A60" s="6" t="s">
        <v>101</v>
      </c>
      <c r="B60" s="11" t="s">
        <v>4</v>
      </c>
      <c r="C60" s="6" t="s">
        <v>1</v>
      </c>
      <c r="D60" s="11"/>
      <c r="E60" s="10"/>
    </row>
    <row r="61" spans="1:5">
      <c r="A61" s="6" t="s">
        <v>102</v>
      </c>
      <c r="B61" s="11" t="s">
        <v>4</v>
      </c>
      <c r="C61" s="6" t="s">
        <v>1</v>
      </c>
      <c r="D61" s="11"/>
      <c r="E61" s="10"/>
    </row>
    <row r="62" spans="1:5">
      <c r="A62" s="6" t="s">
        <v>103</v>
      </c>
      <c r="B62" s="11" t="s">
        <v>4</v>
      </c>
      <c r="C62" s="6" t="s">
        <v>1</v>
      </c>
      <c r="D62" s="11"/>
      <c r="E62" s="10"/>
    </row>
    <row r="63" spans="1:4">
      <c r="A63" s="6" t="s">
        <v>104</v>
      </c>
      <c r="B63" s="8" t="s">
        <v>17</v>
      </c>
      <c r="C63" s="9" t="s">
        <v>18</v>
      </c>
      <c r="D63" s="11"/>
    </row>
    <row r="64" spans="1:4">
      <c r="A64" s="6" t="s">
        <v>105</v>
      </c>
      <c r="B64" s="8" t="s">
        <v>17</v>
      </c>
      <c r="C64" s="9" t="s">
        <v>19</v>
      </c>
      <c r="D64" s="11"/>
    </row>
    <row r="65" spans="1:5">
      <c r="A65" s="6" t="s">
        <v>106</v>
      </c>
      <c r="B65" s="11" t="s">
        <v>4</v>
      </c>
      <c r="C65" s="6" t="s">
        <v>1</v>
      </c>
      <c r="E65" s="10"/>
    </row>
    <row r="66" spans="1:5">
      <c r="A66" s="6" t="s">
        <v>107</v>
      </c>
      <c r="B66" s="8" t="s">
        <v>17</v>
      </c>
      <c r="C66" s="9" t="s">
        <v>21</v>
      </c>
      <c r="E66" s="10"/>
    </row>
    <row r="67" spans="1:5">
      <c r="A67" s="6" t="s">
        <v>108</v>
      </c>
      <c r="B67" s="8" t="s">
        <v>17</v>
      </c>
      <c r="C67" s="9" t="s">
        <v>22</v>
      </c>
      <c r="E67" s="10"/>
    </row>
    <row r="68" spans="1:3">
      <c r="A68" s="6" t="s">
        <v>109</v>
      </c>
      <c r="B68" s="8" t="s">
        <v>17</v>
      </c>
      <c r="C68" s="6" t="s">
        <v>15</v>
      </c>
    </row>
    <row r="69" spans="1:3">
      <c r="A69" s="6" t="s">
        <v>110</v>
      </c>
      <c r="B69" s="10" t="s">
        <v>14</v>
      </c>
      <c r="C69" s="9" t="s">
        <v>26</v>
      </c>
    </row>
    <row r="70" spans="1:3">
      <c r="A70" s="6" t="s">
        <v>111</v>
      </c>
      <c r="B70" s="10" t="s">
        <v>14</v>
      </c>
      <c r="C70" s="9" t="s">
        <v>27</v>
      </c>
    </row>
    <row r="71" spans="1:3">
      <c r="A71" s="6" t="s">
        <v>112</v>
      </c>
      <c r="B71" s="10" t="s">
        <v>14</v>
      </c>
      <c r="C71" s="9" t="s">
        <v>28</v>
      </c>
    </row>
    <row r="72" spans="1:3">
      <c r="A72" s="6" t="s">
        <v>113</v>
      </c>
      <c r="B72" s="11" t="s">
        <v>4</v>
      </c>
      <c r="C72" s="6" t="s">
        <v>1</v>
      </c>
    </row>
    <row r="73" spans="1:3">
      <c r="A73" s="6" t="s">
        <v>114</v>
      </c>
      <c r="B73" s="9" t="s">
        <v>23</v>
      </c>
      <c r="C73" s="9" t="s">
        <v>24</v>
      </c>
    </row>
    <row r="74" spans="1:3">
      <c r="A74" s="6" t="s">
        <v>115</v>
      </c>
      <c r="B74" s="11" t="s">
        <v>4</v>
      </c>
      <c r="C74" s="6" t="s">
        <v>1</v>
      </c>
    </row>
    <row r="75" spans="1:3">
      <c r="A75" s="6" t="s">
        <v>116</v>
      </c>
      <c r="B75" s="9" t="s">
        <v>23</v>
      </c>
      <c r="C75" s="6" t="s">
        <v>16</v>
      </c>
    </row>
    <row r="76" spans="1:3">
      <c r="A76" s="6" t="s">
        <v>117</v>
      </c>
      <c r="B76" s="9" t="s">
        <v>30</v>
      </c>
      <c r="C76" s="9" t="s">
        <v>31</v>
      </c>
    </row>
    <row r="77" spans="1:3">
      <c r="A77" s="6" t="s">
        <v>118</v>
      </c>
      <c r="B77" s="9" t="s">
        <v>30</v>
      </c>
      <c r="C77" s="9" t="s">
        <v>32</v>
      </c>
    </row>
    <row r="78" spans="1:3">
      <c r="A78" s="6" t="s">
        <v>119</v>
      </c>
      <c r="B78" s="9" t="s">
        <v>30</v>
      </c>
      <c r="C78" s="9" t="s">
        <v>33</v>
      </c>
    </row>
    <row r="79" spans="1:3">
      <c r="A79" s="6" t="s">
        <v>120</v>
      </c>
      <c r="B79" s="11" t="s">
        <v>4</v>
      </c>
      <c r="C79" s="6" t="s">
        <v>1</v>
      </c>
    </row>
    <row r="80" spans="1:3">
      <c r="A80" s="6" t="s">
        <v>121</v>
      </c>
      <c r="B80" s="8" t="s">
        <v>17</v>
      </c>
      <c r="C80" s="9" t="s">
        <v>18</v>
      </c>
    </row>
    <row r="81" spans="1:3">
      <c r="A81" s="6" t="s">
        <v>122</v>
      </c>
      <c r="B81" s="8" t="s">
        <v>17</v>
      </c>
      <c r="C81" s="9" t="s">
        <v>19</v>
      </c>
    </row>
    <row r="82" spans="1:3">
      <c r="A82" s="6" t="s">
        <v>123</v>
      </c>
      <c r="B82" s="11" t="s">
        <v>4</v>
      </c>
      <c r="C82" s="6" t="s">
        <v>1</v>
      </c>
    </row>
    <row r="83" spans="1:3">
      <c r="A83" s="6" t="s">
        <v>124</v>
      </c>
      <c r="B83" s="8" t="s">
        <v>17</v>
      </c>
      <c r="C83" s="9" t="s">
        <v>21</v>
      </c>
    </row>
    <row r="84" spans="1:3">
      <c r="A84" s="6" t="s">
        <v>125</v>
      </c>
      <c r="B84" s="8" t="s">
        <v>17</v>
      </c>
      <c r="C84" s="9" t="s">
        <v>22</v>
      </c>
    </row>
    <row r="85" spans="1:3">
      <c r="A85" s="6" t="s">
        <v>126</v>
      </c>
      <c r="B85" s="8" t="s">
        <v>17</v>
      </c>
      <c r="C85" s="6" t="s">
        <v>15</v>
      </c>
    </row>
    <row r="86" spans="1:3">
      <c r="A86" s="6" t="s">
        <v>127</v>
      </c>
      <c r="B86" s="10" t="s">
        <v>14</v>
      </c>
      <c r="C86" s="9" t="s">
        <v>26</v>
      </c>
    </row>
    <row r="87" spans="1:3">
      <c r="A87" s="6" t="s">
        <v>128</v>
      </c>
      <c r="B87" s="10" t="s">
        <v>14</v>
      </c>
      <c r="C87" s="9" t="s">
        <v>27</v>
      </c>
    </row>
    <row r="88" spans="1:3">
      <c r="A88" s="6" t="s">
        <v>129</v>
      </c>
      <c r="B88" s="10" t="s">
        <v>14</v>
      </c>
      <c r="C88" s="9" t="s">
        <v>28</v>
      </c>
    </row>
    <row r="89" spans="1:3">
      <c r="A89" s="6" t="s">
        <v>130</v>
      </c>
      <c r="B89" s="11" t="s">
        <v>4</v>
      </c>
      <c r="C89" s="6" t="s">
        <v>1</v>
      </c>
    </row>
    <row r="90" spans="1:3">
      <c r="A90" s="6" t="s">
        <v>131</v>
      </c>
      <c r="B90" s="9" t="s">
        <v>23</v>
      </c>
      <c r="C90" s="9" t="s">
        <v>24</v>
      </c>
    </row>
    <row r="91" spans="1:3">
      <c r="A91" s="6" t="s">
        <v>132</v>
      </c>
      <c r="B91" s="11" t="s">
        <v>4</v>
      </c>
      <c r="C91" s="6" t="s">
        <v>1</v>
      </c>
    </row>
    <row r="92" spans="1:3">
      <c r="A92" s="6" t="s">
        <v>133</v>
      </c>
      <c r="B92" s="9" t="s">
        <v>23</v>
      </c>
      <c r="C92" s="6" t="s">
        <v>16</v>
      </c>
    </row>
    <row r="93" spans="1:3">
      <c r="A93" s="6" t="s">
        <v>134</v>
      </c>
      <c r="B93" s="9" t="s">
        <v>30</v>
      </c>
      <c r="C93" s="9" t="s">
        <v>31</v>
      </c>
    </row>
    <row r="94" spans="1:3">
      <c r="A94" s="6" t="s">
        <v>135</v>
      </c>
      <c r="B94" s="9" t="s">
        <v>30</v>
      </c>
      <c r="C94" s="9" t="s">
        <v>32</v>
      </c>
    </row>
    <row r="95" spans="1:3">
      <c r="A95" s="6" t="s">
        <v>136</v>
      </c>
      <c r="B95" s="9" t="s">
        <v>30</v>
      </c>
      <c r="C95" s="9" t="s">
        <v>33</v>
      </c>
    </row>
    <row r="96" spans="1:3">
      <c r="A96" s="6" t="s">
        <v>137</v>
      </c>
      <c r="B96" s="11" t="s">
        <v>4</v>
      </c>
      <c r="C96" s="6" t="s">
        <v>1</v>
      </c>
    </row>
  </sheetData>
  <pageMargins left="0.7" right="0.7" top="0.75" bottom="0.75" header="0.3" footer="0.3"/>
  <pageSetup paperSize="9" orientation="portrait"/>
  <headerFooter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7"/>
  <sheetViews>
    <sheetView workbookViewId="0">
      <selection activeCell="A1" sqref="A1:G4"/>
    </sheetView>
  </sheetViews>
  <sheetFormatPr defaultColWidth="8.79646017699115" defaultRowHeight="13.85" outlineLevelRow="6" outlineLevelCol="6"/>
  <cols>
    <col min="1" max="7" width="9" style="5"/>
  </cols>
  <sheetData>
    <row r="1" spans="1:7">
      <c r="A1" s="1" t="s">
        <v>140</v>
      </c>
      <c r="B1" s="1" t="s">
        <v>141</v>
      </c>
      <c r="C1" s="1" t="s">
        <v>142</v>
      </c>
      <c r="D1" s="1" t="s">
        <v>143</v>
      </c>
      <c r="E1" s="1" t="s">
        <v>144</v>
      </c>
      <c r="F1" s="1" t="s">
        <v>145</v>
      </c>
      <c r="G1" s="1" t="s">
        <v>146</v>
      </c>
    </row>
    <row r="2" s="3" customFormat="1" spans="1:7">
      <c r="A2" s="1">
        <v>30</v>
      </c>
      <c r="B2" s="1">
        <v>33</v>
      </c>
      <c r="C2" s="1">
        <v>35.5</v>
      </c>
      <c r="D2" s="1">
        <v>38.9</v>
      </c>
      <c r="E2" s="1">
        <v>35.5</v>
      </c>
      <c r="F2" s="1">
        <v>38.9</v>
      </c>
      <c r="G2" s="1">
        <v>4</v>
      </c>
    </row>
    <row r="3" s="4" customFormat="1" spans="1:7">
      <c r="A3" s="1">
        <v>14</v>
      </c>
      <c r="B3" s="1">
        <v>28</v>
      </c>
      <c r="C3" s="1">
        <v>10</v>
      </c>
      <c r="D3" s="1">
        <v>12.9</v>
      </c>
      <c r="E3" s="1">
        <v>10</v>
      </c>
      <c r="F3" s="1">
        <v>12.9</v>
      </c>
      <c r="G3" s="1">
        <v>2</v>
      </c>
    </row>
    <row r="4" s="4" customFormat="1" spans="1:7">
      <c r="A4" s="1">
        <v>23</v>
      </c>
      <c r="B4" s="1">
        <v>16</v>
      </c>
      <c r="C4" s="1">
        <v>18.5</v>
      </c>
      <c r="D4" s="1">
        <v>21.8</v>
      </c>
      <c r="E4" s="1">
        <v>18.5</v>
      </c>
      <c r="F4" s="1">
        <v>21.8</v>
      </c>
      <c r="G4" s="1">
        <v>6</v>
      </c>
    </row>
    <row r="5" s="4" customFormat="1" spans="1:7">
      <c r="A5" s="5"/>
      <c r="B5" s="5"/>
      <c r="C5" s="5"/>
      <c r="D5" s="5"/>
      <c r="E5" s="5"/>
      <c r="F5" s="5"/>
      <c r="G5" s="5"/>
    </row>
    <row r="6" s="4" customFormat="1" spans="1:7">
      <c r="A6" s="5"/>
      <c r="B6" s="5"/>
      <c r="C6" s="5"/>
      <c r="D6" s="5"/>
      <c r="E6" s="5"/>
      <c r="F6" s="5"/>
      <c r="G6" s="5"/>
    </row>
    <row r="7" s="3" customFormat="1" spans="1:7">
      <c r="A7" s="5"/>
      <c r="B7" s="5"/>
      <c r="C7" s="5"/>
      <c r="D7" s="5"/>
      <c r="E7" s="5"/>
      <c r="F7" s="5"/>
      <c r="G7" s="5"/>
    </row>
  </sheetData>
  <pageMargins left="0.7" right="0.7" top="0.75" bottom="0.75" header="0.3" footer="0.3"/>
  <pageSetup paperSize="9" orientation="portrait"/>
  <headerFooter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8"/>
  <sheetViews>
    <sheetView workbookViewId="0">
      <selection activeCell="A1" sqref="A$1:G$1048576"/>
    </sheetView>
  </sheetViews>
  <sheetFormatPr defaultColWidth="9.02654867256637" defaultRowHeight="13.85" outlineLevelRow="7" outlineLevelCol="6"/>
  <cols>
    <col min="1" max="7" width="9" style="1"/>
  </cols>
  <sheetData>
    <row r="1" spans="1:7">
      <c r="A1" s="1" t="s">
        <v>140</v>
      </c>
      <c r="B1" s="1" t="s">
        <v>141</v>
      </c>
      <c r="C1" s="1" t="s">
        <v>142</v>
      </c>
      <c r="D1" s="1" t="s">
        <v>143</v>
      </c>
      <c r="E1" s="1" t="s">
        <v>144</v>
      </c>
      <c r="F1" s="1" t="s">
        <v>145</v>
      </c>
      <c r="G1" s="1" t="s">
        <v>146</v>
      </c>
    </row>
    <row r="2" spans="1:7">
      <c r="A2" s="1">
        <v>23</v>
      </c>
      <c r="B2" s="1">
        <v>24</v>
      </c>
      <c r="C2" s="1">
        <v>18</v>
      </c>
      <c r="D2" s="1">
        <v>20.8</v>
      </c>
      <c r="E2" s="1">
        <v>18</v>
      </c>
      <c r="F2" s="1">
        <v>20.8</v>
      </c>
      <c r="G2" s="1">
        <v>3</v>
      </c>
    </row>
    <row r="3" spans="1:7">
      <c r="A3" s="1">
        <v>14</v>
      </c>
      <c r="B3" s="1">
        <v>28</v>
      </c>
      <c r="C3" s="1">
        <v>38.5</v>
      </c>
      <c r="D3" s="1">
        <v>41.2</v>
      </c>
      <c r="E3" s="1">
        <v>38.5</v>
      </c>
      <c r="F3" s="1">
        <v>41.2</v>
      </c>
      <c r="G3" s="1">
        <v>17</v>
      </c>
    </row>
    <row r="4" spans="1:7">
      <c r="A4" s="1">
        <v>23</v>
      </c>
      <c r="B4" s="1">
        <v>16</v>
      </c>
      <c r="C4" s="1">
        <v>16.5</v>
      </c>
      <c r="D4" s="1">
        <v>19.4</v>
      </c>
      <c r="E4" s="1">
        <v>16.5</v>
      </c>
      <c r="F4" s="1">
        <v>19.4</v>
      </c>
      <c r="G4" s="1">
        <v>5</v>
      </c>
    </row>
    <row r="5" spans="1:7">
      <c r="A5" s="1">
        <v>23</v>
      </c>
      <c r="B5" s="1">
        <v>16</v>
      </c>
      <c r="C5" s="1">
        <v>22</v>
      </c>
      <c r="D5" s="1">
        <v>24.5</v>
      </c>
      <c r="E5" s="1">
        <v>22</v>
      </c>
      <c r="F5" s="1">
        <v>24.5</v>
      </c>
      <c r="G5" s="1">
        <v>7</v>
      </c>
    </row>
    <row r="6" spans="1:7">
      <c r="A6" s="1">
        <v>23</v>
      </c>
      <c r="B6" s="1">
        <v>25</v>
      </c>
      <c r="C6" s="1">
        <v>19.5</v>
      </c>
      <c r="D6" s="1">
        <v>23.4</v>
      </c>
      <c r="E6" s="1">
        <v>19.5</v>
      </c>
      <c r="F6" s="1">
        <v>23.4</v>
      </c>
      <c r="G6" s="1">
        <v>1</v>
      </c>
    </row>
    <row r="7" spans="1:7">
      <c r="A7" s="1">
        <v>17</v>
      </c>
      <c r="B7" s="1">
        <v>18</v>
      </c>
      <c r="C7" s="1">
        <v>19</v>
      </c>
      <c r="D7" s="1">
        <v>22.5</v>
      </c>
      <c r="E7" s="1">
        <v>19</v>
      </c>
      <c r="F7" s="1">
        <v>22.5</v>
      </c>
      <c r="G7" s="1">
        <v>4</v>
      </c>
    </row>
    <row r="8" spans="1:7">
      <c r="A8" s="1">
        <v>14</v>
      </c>
      <c r="B8" s="1">
        <v>26</v>
      </c>
      <c r="C8" s="1">
        <v>28</v>
      </c>
      <c r="D8" s="1">
        <v>31.8</v>
      </c>
      <c r="E8" s="1">
        <v>28</v>
      </c>
      <c r="F8" s="1">
        <v>31.8</v>
      </c>
      <c r="G8" s="1">
        <v>26</v>
      </c>
    </row>
  </sheetData>
  <pageMargins left="0.75" right="0.75" top="1" bottom="1" header="0.5" footer="0.5"/>
  <headerFooter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H15"/>
  <sheetViews>
    <sheetView workbookViewId="0">
      <selection activeCell="A1" sqref="A$1:G$1048576"/>
    </sheetView>
  </sheetViews>
  <sheetFormatPr defaultColWidth="9.02654867256637" defaultRowHeight="13.85" outlineLevelCol="7"/>
  <cols>
    <col min="1" max="8" width="9" style="1"/>
  </cols>
  <sheetData>
    <row r="1" spans="1:8">
      <c r="A1" s="1" t="s">
        <v>140</v>
      </c>
      <c r="B1" s="1" t="s">
        <v>141</v>
      </c>
      <c r="C1" s="1" t="s">
        <v>142</v>
      </c>
      <c r="D1" s="1" t="s">
        <v>143</v>
      </c>
      <c r="E1" s="1" t="s">
        <v>144</v>
      </c>
      <c r="F1" s="1" t="s">
        <v>145</v>
      </c>
      <c r="G1" s="1" t="s">
        <v>146</v>
      </c>
      <c r="H1" s="2"/>
    </row>
    <row r="2" spans="1:7">
      <c r="A2" s="1">
        <v>30</v>
      </c>
      <c r="B2" s="1">
        <v>33</v>
      </c>
      <c r="C2" s="1">
        <v>39</v>
      </c>
      <c r="D2" s="1">
        <v>42.9</v>
      </c>
      <c r="E2" s="1">
        <v>39</v>
      </c>
      <c r="F2" s="1">
        <v>42.9</v>
      </c>
      <c r="G2" s="1">
        <v>4</v>
      </c>
    </row>
    <row r="3" spans="1:7">
      <c r="A3" s="1">
        <v>17</v>
      </c>
      <c r="B3" s="1">
        <v>21</v>
      </c>
      <c r="C3" s="1">
        <v>26.5</v>
      </c>
      <c r="D3" s="1">
        <v>29.5</v>
      </c>
      <c r="E3" s="1">
        <v>26.5</v>
      </c>
      <c r="F3" s="1">
        <v>29.5</v>
      </c>
      <c r="G3" s="1">
        <v>17</v>
      </c>
    </row>
    <row r="4" spans="1:7">
      <c r="A4" s="1">
        <v>30</v>
      </c>
      <c r="B4" s="1">
        <v>32</v>
      </c>
      <c r="C4" s="1">
        <v>39.5</v>
      </c>
      <c r="D4" s="1">
        <v>42</v>
      </c>
      <c r="E4" s="1">
        <v>39.5</v>
      </c>
      <c r="F4" s="1">
        <v>42</v>
      </c>
      <c r="G4" s="1">
        <v>26</v>
      </c>
    </row>
    <row r="5" spans="1:7">
      <c r="A5" s="1">
        <v>17</v>
      </c>
      <c r="B5" s="1">
        <v>22</v>
      </c>
      <c r="C5" s="1">
        <v>19</v>
      </c>
      <c r="D5" s="1">
        <v>22.7</v>
      </c>
      <c r="E5" s="1">
        <v>19</v>
      </c>
      <c r="F5" s="1">
        <v>22.7</v>
      </c>
      <c r="G5" s="1">
        <v>4</v>
      </c>
    </row>
    <row r="6" spans="1:7">
      <c r="A6" s="1">
        <v>17</v>
      </c>
      <c r="B6" s="1">
        <v>22</v>
      </c>
      <c r="C6" s="1">
        <v>50.5</v>
      </c>
      <c r="D6" s="1">
        <v>53.6</v>
      </c>
      <c r="E6" s="1">
        <v>50.5</v>
      </c>
      <c r="F6" s="1">
        <v>53.6</v>
      </c>
      <c r="G6" s="1">
        <v>4</v>
      </c>
    </row>
    <row r="7" spans="1:7">
      <c r="A7" s="1">
        <v>23</v>
      </c>
      <c r="B7" s="1">
        <v>25</v>
      </c>
      <c r="C7" s="1">
        <v>18.5</v>
      </c>
      <c r="D7" s="1">
        <v>22</v>
      </c>
      <c r="E7" s="1">
        <v>18.5</v>
      </c>
      <c r="F7" s="1">
        <v>22</v>
      </c>
      <c r="G7" s="1">
        <v>3</v>
      </c>
    </row>
    <row r="8" spans="1:7">
      <c r="A8" s="1">
        <v>30</v>
      </c>
      <c r="B8" s="1">
        <v>32</v>
      </c>
      <c r="C8" s="1">
        <v>22.5</v>
      </c>
      <c r="D8" s="1">
        <v>26.3</v>
      </c>
      <c r="E8" s="1">
        <v>22.5</v>
      </c>
      <c r="F8" s="1">
        <v>26.3</v>
      </c>
      <c r="G8" s="1">
        <v>6</v>
      </c>
    </row>
    <row r="9" spans="1:7">
      <c r="A9" s="1">
        <v>17</v>
      </c>
      <c r="B9" s="1">
        <v>21</v>
      </c>
      <c r="C9" s="1">
        <v>16.5</v>
      </c>
      <c r="D9" s="1">
        <v>19.4</v>
      </c>
      <c r="E9" s="1">
        <v>16.5</v>
      </c>
      <c r="F9" s="1">
        <v>19.4</v>
      </c>
      <c r="G9" s="1">
        <v>6</v>
      </c>
    </row>
    <row r="10" spans="1:7">
      <c r="A10" s="1">
        <v>17</v>
      </c>
      <c r="B10" s="1">
        <v>21</v>
      </c>
      <c r="C10" s="1">
        <v>14.5</v>
      </c>
      <c r="D10" s="1">
        <v>18.2</v>
      </c>
      <c r="E10" s="1">
        <v>14.5</v>
      </c>
      <c r="F10" s="1">
        <v>18.2</v>
      </c>
      <c r="G10" s="1">
        <v>6</v>
      </c>
    </row>
    <row r="11" spans="1:7">
      <c r="A11" s="1">
        <v>17</v>
      </c>
      <c r="B11" s="1">
        <v>21</v>
      </c>
      <c r="C11" s="1">
        <v>17</v>
      </c>
      <c r="D11" s="1">
        <v>20.7</v>
      </c>
      <c r="E11" s="1">
        <v>17</v>
      </c>
      <c r="F11" s="1">
        <v>20.7</v>
      </c>
      <c r="G11" s="1">
        <v>7</v>
      </c>
    </row>
    <row r="12" spans="1:7">
      <c r="A12" s="1">
        <v>23</v>
      </c>
      <c r="B12" s="1">
        <v>16</v>
      </c>
      <c r="C12" s="1">
        <v>18.5</v>
      </c>
      <c r="D12" s="1">
        <v>21.3</v>
      </c>
      <c r="E12" s="1">
        <v>18.5</v>
      </c>
      <c r="F12" s="1">
        <v>21.3</v>
      </c>
      <c r="G12" s="1">
        <v>7</v>
      </c>
    </row>
    <row r="13" spans="1:7">
      <c r="A13" s="1">
        <v>14</v>
      </c>
      <c r="B13" s="1">
        <v>29</v>
      </c>
      <c r="C13" s="1">
        <v>22.5</v>
      </c>
      <c r="D13" s="1">
        <v>25.9</v>
      </c>
      <c r="E13" s="1">
        <v>22.5</v>
      </c>
      <c r="F13" s="1">
        <v>25.9</v>
      </c>
      <c r="G13" s="1">
        <v>7</v>
      </c>
    </row>
    <row r="14" spans="1:7">
      <c r="A14" s="1">
        <v>30</v>
      </c>
      <c r="B14" s="1">
        <v>32</v>
      </c>
      <c r="C14" s="1">
        <v>21.5</v>
      </c>
      <c r="D14" s="1">
        <v>24</v>
      </c>
      <c r="E14" s="1">
        <v>21.5</v>
      </c>
      <c r="F14" s="1">
        <v>24</v>
      </c>
      <c r="G14" s="1">
        <v>4</v>
      </c>
    </row>
    <row r="15" spans="1:7">
      <c r="A15" s="1">
        <v>30</v>
      </c>
      <c r="B15" s="1">
        <v>32</v>
      </c>
      <c r="C15" s="1">
        <v>19</v>
      </c>
      <c r="D15" s="1">
        <v>23</v>
      </c>
      <c r="E15" s="1">
        <v>19</v>
      </c>
      <c r="F15" s="1">
        <v>23</v>
      </c>
      <c r="G15" s="1">
        <v>7</v>
      </c>
    </row>
  </sheetData>
  <pageMargins left="0.75" right="0.75" top="1" bottom="1" header="0.5" footer="0.5"/>
  <headerFooter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18"/>
  <sheetViews>
    <sheetView workbookViewId="0">
      <selection activeCell="A1" sqref="A$1:G$1048576"/>
    </sheetView>
  </sheetViews>
  <sheetFormatPr defaultColWidth="9.02654867256637" defaultRowHeight="13.85" outlineLevelCol="6"/>
  <cols>
    <col min="1" max="8" width="9" style="1"/>
  </cols>
  <sheetData>
    <row r="1" spans="1:7">
      <c r="A1" s="1" t="s">
        <v>140</v>
      </c>
      <c r="B1" s="1" t="s">
        <v>141</v>
      </c>
      <c r="C1" s="1" t="s">
        <v>142</v>
      </c>
      <c r="D1" s="1" t="s">
        <v>143</v>
      </c>
      <c r="E1" s="1" t="s">
        <v>144</v>
      </c>
      <c r="F1" s="1" t="s">
        <v>145</v>
      </c>
      <c r="G1" s="1" t="s">
        <v>146</v>
      </c>
    </row>
    <row r="2" spans="1:7">
      <c r="A2" s="1">
        <v>14</v>
      </c>
      <c r="B2" s="1">
        <v>29</v>
      </c>
      <c r="C2" s="1">
        <v>22</v>
      </c>
      <c r="D2" s="1">
        <v>25.8</v>
      </c>
      <c r="E2" s="1">
        <v>22</v>
      </c>
      <c r="F2" s="1">
        <v>25.8</v>
      </c>
      <c r="G2" s="1">
        <v>1</v>
      </c>
    </row>
    <row r="3" spans="1:7">
      <c r="A3" s="1">
        <v>14</v>
      </c>
      <c r="B3" s="1">
        <v>29</v>
      </c>
      <c r="C3" s="1">
        <v>17.5</v>
      </c>
      <c r="D3" s="1">
        <v>20.5</v>
      </c>
      <c r="E3" s="1">
        <v>17.5</v>
      </c>
      <c r="F3" s="1">
        <v>20.5</v>
      </c>
      <c r="G3" s="1">
        <v>1</v>
      </c>
    </row>
    <row r="4" spans="1:7">
      <c r="A4" s="1">
        <v>17</v>
      </c>
      <c r="B4" s="1">
        <v>19</v>
      </c>
      <c r="C4" s="1">
        <v>19</v>
      </c>
      <c r="D4" s="1">
        <v>22.8</v>
      </c>
      <c r="E4" s="1">
        <v>19</v>
      </c>
      <c r="F4" s="1">
        <v>22.8</v>
      </c>
      <c r="G4" s="1">
        <v>2</v>
      </c>
    </row>
    <row r="5" spans="1:7">
      <c r="A5" s="1">
        <v>14</v>
      </c>
      <c r="B5" s="1">
        <v>29</v>
      </c>
      <c r="C5" s="1">
        <v>12</v>
      </c>
      <c r="D5" s="1">
        <v>15</v>
      </c>
      <c r="E5" s="1">
        <v>12</v>
      </c>
      <c r="F5" s="1">
        <v>15</v>
      </c>
      <c r="G5" s="1">
        <v>3</v>
      </c>
    </row>
    <row r="6" spans="1:7">
      <c r="A6" s="1">
        <v>17</v>
      </c>
      <c r="B6" s="1">
        <v>22</v>
      </c>
      <c r="C6" s="1">
        <v>20.5</v>
      </c>
      <c r="D6" s="1">
        <v>23.8</v>
      </c>
      <c r="E6" s="1">
        <v>20.5</v>
      </c>
      <c r="F6" s="1">
        <v>23.8</v>
      </c>
      <c r="G6" s="1">
        <v>3</v>
      </c>
    </row>
    <row r="7" spans="1:7">
      <c r="A7" s="1">
        <v>14</v>
      </c>
      <c r="B7" s="1">
        <v>26</v>
      </c>
      <c r="C7" s="1">
        <v>20.5</v>
      </c>
      <c r="D7" s="1">
        <v>23.1</v>
      </c>
      <c r="E7" s="1">
        <v>20.5</v>
      </c>
      <c r="F7" s="1">
        <v>23.1</v>
      </c>
      <c r="G7" s="1">
        <v>7</v>
      </c>
    </row>
    <row r="8" spans="1:7">
      <c r="A8" s="1">
        <v>30</v>
      </c>
      <c r="B8" s="1">
        <v>34</v>
      </c>
      <c r="C8" s="1">
        <v>19</v>
      </c>
      <c r="D8" s="1">
        <v>22.9</v>
      </c>
      <c r="E8" s="1">
        <v>19</v>
      </c>
      <c r="F8" s="1">
        <v>22.9</v>
      </c>
      <c r="G8" s="1">
        <v>5</v>
      </c>
    </row>
    <row r="9" spans="1:7">
      <c r="A9" s="1">
        <v>30</v>
      </c>
      <c r="B9" s="1">
        <v>34</v>
      </c>
      <c r="C9" s="1">
        <v>34.5</v>
      </c>
      <c r="D9" s="1">
        <v>38.3</v>
      </c>
      <c r="E9" s="1">
        <v>34.5</v>
      </c>
      <c r="F9" s="1">
        <v>38.3</v>
      </c>
      <c r="G9" s="1">
        <v>39</v>
      </c>
    </row>
    <row r="10" spans="1:7">
      <c r="A10" s="1">
        <v>14</v>
      </c>
      <c r="B10" s="1">
        <v>26</v>
      </c>
      <c r="C10" s="1">
        <v>20</v>
      </c>
      <c r="D10" s="1">
        <v>23.3</v>
      </c>
      <c r="E10" s="1">
        <v>20</v>
      </c>
      <c r="F10" s="1">
        <v>23.3</v>
      </c>
      <c r="G10" s="1">
        <v>1</v>
      </c>
    </row>
    <row r="11" spans="1:7">
      <c r="A11" s="1">
        <v>23</v>
      </c>
      <c r="B11" s="1">
        <v>16</v>
      </c>
      <c r="C11" s="1">
        <v>35</v>
      </c>
      <c r="D11" s="1">
        <v>39</v>
      </c>
      <c r="E11" s="1">
        <v>35</v>
      </c>
      <c r="F11" s="1">
        <v>39</v>
      </c>
      <c r="G11" s="1">
        <v>6</v>
      </c>
    </row>
    <row r="12" spans="1:7">
      <c r="A12" s="1">
        <v>14</v>
      </c>
      <c r="B12" s="1">
        <v>26</v>
      </c>
      <c r="C12" s="1">
        <v>46</v>
      </c>
      <c r="D12" s="1">
        <v>48.9</v>
      </c>
      <c r="E12" s="1">
        <v>46</v>
      </c>
      <c r="F12" s="1">
        <v>48.9</v>
      </c>
      <c r="G12" s="1">
        <v>21</v>
      </c>
    </row>
    <row r="13" spans="1:7">
      <c r="A13" s="1">
        <v>17</v>
      </c>
      <c r="B13" s="1">
        <v>21</v>
      </c>
      <c r="C13" s="1">
        <v>18.5</v>
      </c>
      <c r="D13" s="1">
        <v>22.1</v>
      </c>
      <c r="E13" s="1">
        <v>18.5</v>
      </c>
      <c r="F13" s="1">
        <v>22.1</v>
      </c>
      <c r="G13" s="1">
        <v>4</v>
      </c>
    </row>
    <row r="14" spans="1:7">
      <c r="A14" s="1">
        <v>23</v>
      </c>
      <c r="B14" s="1">
        <v>16</v>
      </c>
      <c r="C14" s="1">
        <v>20.5</v>
      </c>
      <c r="D14" s="1">
        <v>23</v>
      </c>
      <c r="E14" s="1">
        <v>20.5</v>
      </c>
      <c r="F14" s="1">
        <v>23</v>
      </c>
      <c r="G14" s="1">
        <v>5</v>
      </c>
    </row>
    <row r="15" spans="1:7">
      <c r="A15" s="1">
        <v>14</v>
      </c>
      <c r="B15" s="1">
        <v>28</v>
      </c>
      <c r="C15" s="1">
        <v>14.5</v>
      </c>
      <c r="D15" s="1">
        <v>17.7</v>
      </c>
      <c r="E15" s="1">
        <v>14.5</v>
      </c>
      <c r="F15" s="1">
        <v>17.7</v>
      </c>
      <c r="G15" s="1">
        <v>2</v>
      </c>
    </row>
    <row r="16" spans="1:7">
      <c r="A16" s="1">
        <v>17</v>
      </c>
      <c r="B16" s="1">
        <v>18</v>
      </c>
      <c r="C16" s="1">
        <v>22.5</v>
      </c>
      <c r="D16" s="1">
        <v>25.4</v>
      </c>
      <c r="E16" s="1">
        <v>22.5</v>
      </c>
      <c r="F16" s="1">
        <v>25.4</v>
      </c>
      <c r="G16" s="1">
        <v>3</v>
      </c>
    </row>
    <row r="17" spans="1:7">
      <c r="A17" s="1">
        <v>23</v>
      </c>
      <c r="B17" s="1">
        <v>16</v>
      </c>
      <c r="C17" s="1">
        <v>18.5</v>
      </c>
      <c r="D17" s="1">
        <v>21.5</v>
      </c>
      <c r="E17" s="1">
        <v>18.5</v>
      </c>
      <c r="F17" s="1">
        <v>21.5</v>
      </c>
      <c r="G17" s="1">
        <v>1</v>
      </c>
    </row>
    <row r="18" spans="1:7">
      <c r="A18" s="1">
        <v>23</v>
      </c>
      <c r="B18" s="1">
        <v>24</v>
      </c>
      <c r="C18" s="1">
        <v>12.5</v>
      </c>
      <c r="D18" s="1">
        <v>15.7</v>
      </c>
      <c r="E18" s="1">
        <v>12.5</v>
      </c>
      <c r="F18" s="1">
        <v>15.7</v>
      </c>
      <c r="G18" s="1">
        <v>6</v>
      </c>
    </row>
  </sheetData>
  <pageMargins left="0.75" right="0.75" top="1" bottom="1" header="0.5" footer="0.5"/>
  <headerFooter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36"/>
  <sheetViews>
    <sheetView topLeftCell="A4" workbookViewId="0">
      <selection activeCell="I32" sqref="I32"/>
    </sheetView>
  </sheetViews>
  <sheetFormatPr defaultColWidth="9.02654867256637" defaultRowHeight="13.85" outlineLevelCol="6"/>
  <cols>
    <col min="1" max="7" width="9" style="1"/>
  </cols>
  <sheetData>
    <row r="1" spans="1:7">
      <c r="A1" s="1" t="s">
        <v>140</v>
      </c>
      <c r="B1" s="1" t="s">
        <v>141</v>
      </c>
      <c r="C1" s="1" t="s">
        <v>142</v>
      </c>
      <c r="D1" s="1" t="s">
        <v>143</v>
      </c>
      <c r="E1" s="1" t="s">
        <v>144</v>
      </c>
      <c r="F1" s="1" t="s">
        <v>145</v>
      </c>
      <c r="G1" s="1" t="s">
        <v>146</v>
      </c>
    </row>
    <row r="2" spans="1:7">
      <c r="A2" s="1">
        <v>14</v>
      </c>
      <c r="B2" s="1">
        <v>29</v>
      </c>
      <c r="C2" s="1">
        <v>19.5</v>
      </c>
      <c r="D2" s="1">
        <v>22.2</v>
      </c>
      <c r="E2" s="1">
        <v>19.5</v>
      </c>
      <c r="F2" s="1">
        <v>22.2</v>
      </c>
      <c r="G2" s="1">
        <v>4</v>
      </c>
    </row>
    <row r="3" spans="1:7">
      <c r="A3" s="1">
        <v>17</v>
      </c>
      <c r="B3" s="1">
        <v>21</v>
      </c>
      <c r="C3" s="1">
        <v>20</v>
      </c>
      <c r="D3" s="1">
        <v>23.1</v>
      </c>
      <c r="E3" s="1">
        <v>20</v>
      </c>
      <c r="F3" s="1">
        <v>23.1</v>
      </c>
      <c r="G3" s="1">
        <v>8</v>
      </c>
    </row>
    <row r="4" spans="1:7">
      <c r="A4" s="1">
        <v>23</v>
      </c>
      <c r="B4" s="1">
        <v>25</v>
      </c>
      <c r="C4" s="1">
        <v>41</v>
      </c>
      <c r="D4" s="1">
        <v>44.2</v>
      </c>
      <c r="E4" s="1">
        <v>41</v>
      </c>
      <c r="F4" s="1">
        <v>44.2</v>
      </c>
      <c r="G4" s="1">
        <v>31</v>
      </c>
    </row>
    <row r="5" spans="1:7">
      <c r="A5" s="1">
        <v>23</v>
      </c>
      <c r="B5" s="1">
        <v>16</v>
      </c>
      <c r="C5" s="1">
        <v>19.5</v>
      </c>
      <c r="D5" s="1">
        <v>22.6</v>
      </c>
      <c r="E5" s="1">
        <v>19.5</v>
      </c>
      <c r="F5" s="1">
        <v>22.6</v>
      </c>
      <c r="G5" s="1">
        <v>6</v>
      </c>
    </row>
    <row r="6" spans="1:7">
      <c r="A6" s="1">
        <v>17</v>
      </c>
      <c r="B6" s="1">
        <v>18</v>
      </c>
      <c r="C6" s="1">
        <v>16.5</v>
      </c>
      <c r="D6" s="1">
        <v>20.1</v>
      </c>
      <c r="E6" s="1">
        <v>16.5</v>
      </c>
      <c r="F6" s="1">
        <v>20.1</v>
      </c>
      <c r="G6" s="1">
        <v>4</v>
      </c>
    </row>
    <row r="7" spans="1:7">
      <c r="A7" s="1">
        <v>17</v>
      </c>
      <c r="B7" s="1">
        <v>20</v>
      </c>
      <c r="C7" s="1">
        <v>18.5</v>
      </c>
      <c r="D7" s="1">
        <v>22.5</v>
      </c>
      <c r="E7" s="1">
        <v>18.5</v>
      </c>
      <c r="F7" s="1">
        <v>22.5</v>
      </c>
      <c r="G7" s="1">
        <v>5</v>
      </c>
    </row>
    <row r="8" spans="1:7">
      <c r="A8" s="1">
        <v>23</v>
      </c>
      <c r="B8" s="1">
        <v>16</v>
      </c>
      <c r="C8" s="1">
        <v>20</v>
      </c>
      <c r="D8" s="1">
        <v>23.4</v>
      </c>
      <c r="E8" s="1">
        <v>20</v>
      </c>
      <c r="F8" s="1">
        <v>23.4</v>
      </c>
      <c r="G8" s="1">
        <v>4</v>
      </c>
    </row>
    <row r="9" spans="1:7">
      <c r="A9" s="1">
        <v>14</v>
      </c>
      <c r="B9" s="1">
        <v>26</v>
      </c>
      <c r="C9" s="1">
        <v>47.5</v>
      </c>
      <c r="D9" s="1">
        <v>50.9</v>
      </c>
      <c r="E9" s="1">
        <v>47.5</v>
      </c>
      <c r="F9" s="1">
        <v>50.9</v>
      </c>
      <c r="G9" s="1">
        <v>3</v>
      </c>
    </row>
    <row r="10" spans="1:7">
      <c r="A10" s="1">
        <v>23</v>
      </c>
      <c r="B10" s="1">
        <v>16</v>
      </c>
      <c r="C10" s="1">
        <v>27.5</v>
      </c>
      <c r="D10" s="1">
        <v>31.4</v>
      </c>
      <c r="E10" s="1">
        <v>27.5</v>
      </c>
      <c r="F10" s="1">
        <v>31.4</v>
      </c>
      <c r="G10" s="1">
        <v>31</v>
      </c>
    </row>
    <row r="11" spans="1:7">
      <c r="A11" s="1">
        <v>30</v>
      </c>
      <c r="B11" s="1">
        <v>31</v>
      </c>
      <c r="C11" s="1">
        <v>21</v>
      </c>
      <c r="D11" s="1">
        <v>24.6</v>
      </c>
      <c r="E11" s="1">
        <v>21</v>
      </c>
      <c r="F11" s="1">
        <v>24.6</v>
      </c>
      <c r="G11" s="1">
        <v>4</v>
      </c>
    </row>
    <row r="12" spans="1:7">
      <c r="A12" s="1">
        <v>23</v>
      </c>
      <c r="B12" s="1">
        <v>16</v>
      </c>
      <c r="C12" s="1">
        <v>56</v>
      </c>
      <c r="D12" s="1">
        <v>59.8</v>
      </c>
      <c r="E12" s="1">
        <v>56</v>
      </c>
      <c r="F12" s="1">
        <v>59.8</v>
      </c>
      <c r="G12" s="1">
        <v>18</v>
      </c>
    </row>
    <row r="13" spans="1:7">
      <c r="A13" s="1">
        <v>14</v>
      </c>
      <c r="B13" s="1">
        <v>27</v>
      </c>
      <c r="C13" s="1">
        <v>23.5</v>
      </c>
      <c r="D13" s="1">
        <v>26.4</v>
      </c>
      <c r="E13" s="1">
        <v>23.5</v>
      </c>
      <c r="F13" s="1">
        <v>26.4</v>
      </c>
      <c r="G13" s="1">
        <v>2</v>
      </c>
    </row>
    <row r="14" spans="1:7">
      <c r="A14" s="1">
        <v>30</v>
      </c>
      <c r="B14" s="1">
        <v>32</v>
      </c>
      <c r="C14" s="1">
        <v>64.5</v>
      </c>
      <c r="D14" s="1">
        <v>67.5</v>
      </c>
      <c r="E14" s="1">
        <v>64.5</v>
      </c>
      <c r="F14" s="1">
        <v>67.5</v>
      </c>
      <c r="G14" s="1">
        <v>27</v>
      </c>
    </row>
    <row r="15" spans="1:7">
      <c r="A15" s="1">
        <v>17</v>
      </c>
      <c r="B15" s="1">
        <v>20</v>
      </c>
      <c r="C15" s="1">
        <v>43.5</v>
      </c>
      <c r="D15" s="1">
        <v>46.1</v>
      </c>
      <c r="E15" s="1">
        <v>43.5</v>
      </c>
      <c r="F15" s="1">
        <v>46.1</v>
      </c>
      <c r="G15" s="1">
        <v>26</v>
      </c>
    </row>
    <row r="16" spans="1:7">
      <c r="A16" s="1">
        <v>30</v>
      </c>
      <c r="B16" s="1">
        <v>33</v>
      </c>
      <c r="C16" s="1">
        <v>53.5</v>
      </c>
      <c r="D16" s="1">
        <v>56.7</v>
      </c>
      <c r="E16" s="1">
        <v>53.5</v>
      </c>
      <c r="F16" s="1">
        <v>56.7</v>
      </c>
      <c r="G16" s="1">
        <v>2</v>
      </c>
    </row>
    <row r="17" spans="1:7">
      <c r="A17" s="1">
        <v>23</v>
      </c>
      <c r="B17" s="1">
        <v>24</v>
      </c>
      <c r="C17" s="1">
        <v>58</v>
      </c>
      <c r="D17" s="1">
        <v>61.4</v>
      </c>
      <c r="E17" s="1">
        <v>58</v>
      </c>
      <c r="F17" s="1">
        <v>61.4</v>
      </c>
      <c r="G17" s="1">
        <v>2</v>
      </c>
    </row>
    <row r="18" spans="1:7">
      <c r="A18" s="1">
        <v>17</v>
      </c>
      <c r="B18" s="1">
        <v>21</v>
      </c>
      <c r="C18" s="1">
        <v>18</v>
      </c>
      <c r="D18" s="1">
        <v>20.7</v>
      </c>
      <c r="E18" s="1">
        <v>18</v>
      </c>
      <c r="F18" s="1">
        <v>20.7</v>
      </c>
      <c r="G18" s="1">
        <v>8</v>
      </c>
    </row>
    <row r="19" spans="1:7">
      <c r="A19" s="1">
        <v>17</v>
      </c>
      <c r="B19" s="1">
        <v>20</v>
      </c>
      <c r="C19" s="1">
        <v>14.5</v>
      </c>
      <c r="D19" s="1">
        <v>17.5</v>
      </c>
      <c r="E19" s="1">
        <v>14.5</v>
      </c>
      <c r="F19" s="1">
        <v>17.5</v>
      </c>
      <c r="G19" s="1">
        <v>6</v>
      </c>
    </row>
    <row r="20" spans="1:7">
      <c r="A20" s="1">
        <v>30</v>
      </c>
      <c r="B20" s="1">
        <v>32</v>
      </c>
      <c r="C20" s="1">
        <v>19.5</v>
      </c>
      <c r="D20" s="1">
        <v>22.8</v>
      </c>
      <c r="E20" s="1">
        <v>19.5</v>
      </c>
      <c r="F20" s="1">
        <v>22.8</v>
      </c>
      <c r="G20" s="1">
        <v>8</v>
      </c>
    </row>
    <row r="21" spans="1:7">
      <c r="A21" s="1">
        <v>14</v>
      </c>
      <c r="B21" s="1">
        <v>28</v>
      </c>
      <c r="C21" s="1">
        <v>20.5</v>
      </c>
      <c r="D21" s="1">
        <v>23.5</v>
      </c>
      <c r="E21" s="1">
        <v>20.5</v>
      </c>
      <c r="F21" s="1">
        <v>23.5</v>
      </c>
      <c r="G21" s="1">
        <v>6</v>
      </c>
    </row>
    <row r="22" spans="1:7">
      <c r="A22" s="1">
        <v>17</v>
      </c>
      <c r="B22" s="1">
        <v>18</v>
      </c>
      <c r="C22" s="1">
        <v>34.5</v>
      </c>
      <c r="D22" s="1">
        <v>37.2</v>
      </c>
      <c r="E22" s="1">
        <v>34.5</v>
      </c>
      <c r="F22" s="1">
        <v>37.2</v>
      </c>
      <c r="G22" s="1">
        <v>6</v>
      </c>
    </row>
    <row r="23" spans="1:7">
      <c r="A23" s="1">
        <v>23</v>
      </c>
      <c r="B23" s="1">
        <v>24</v>
      </c>
      <c r="C23" s="1">
        <v>18</v>
      </c>
      <c r="D23" s="1">
        <v>20.8</v>
      </c>
      <c r="E23" s="1">
        <v>18</v>
      </c>
      <c r="F23" s="1">
        <v>20.8</v>
      </c>
      <c r="G23" s="1">
        <v>2</v>
      </c>
    </row>
    <row r="24" spans="1:7">
      <c r="A24" s="1">
        <v>17</v>
      </c>
      <c r="B24" s="1">
        <v>19</v>
      </c>
      <c r="C24" s="1">
        <v>26</v>
      </c>
      <c r="D24" s="1">
        <v>29.3</v>
      </c>
      <c r="E24" s="1">
        <v>26</v>
      </c>
      <c r="F24" s="1">
        <v>29.3</v>
      </c>
      <c r="G24" s="1">
        <v>34</v>
      </c>
    </row>
    <row r="25" spans="1:7">
      <c r="A25" s="1">
        <v>14</v>
      </c>
      <c r="B25" s="1">
        <v>27</v>
      </c>
      <c r="C25" s="1">
        <v>19.5</v>
      </c>
      <c r="D25" s="1">
        <v>22</v>
      </c>
      <c r="E25" s="1">
        <v>19.5</v>
      </c>
      <c r="F25" s="1">
        <v>22</v>
      </c>
      <c r="G25" s="1">
        <v>2</v>
      </c>
    </row>
    <row r="26" spans="1:7">
      <c r="A26" s="1">
        <v>30</v>
      </c>
      <c r="B26" s="1">
        <v>32</v>
      </c>
      <c r="C26" s="1">
        <v>17</v>
      </c>
      <c r="D26" s="1">
        <v>20.5</v>
      </c>
      <c r="E26" s="1">
        <v>17</v>
      </c>
      <c r="F26" s="1">
        <v>20.5</v>
      </c>
      <c r="G26" s="1">
        <v>5</v>
      </c>
    </row>
    <row r="27" spans="1:7">
      <c r="A27" s="1">
        <v>23</v>
      </c>
      <c r="B27" s="1">
        <v>24</v>
      </c>
      <c r="C27" s="1">
        <v>14.5</v>
      </c>
      <c r="D27" s="1">
        <v>18.5</v>
      </c>
      <c r="E27" s="1">
        <v>14.5</v>
      </c>
      <c r="F27" s="1">
        <v>18.5</v>
      </c>
      <c r="G27" s="1">
        <v>7</v>
      </c>
    </row>
    <row r="28" spans="1:7">
      <c r="A28" s="1">
        <v>17</v>
      </c>
      <c r="B28" s="1">
        <v>15</v>
      </c>
      <c r="C28" s="1">
        <v>19.5</v>
      </c>
      <c r="D28" s="1">
        <v>23.5</v>
      </c>
      <c r="E28" s="1">
        <v>19.5</v>
      </c>
      <c r="F28" s="1">
        <v>23.5</v>
      </c>
      <c r="G28" s="1">
        <v>4</v>
      </c>
    </row>
    <row r="29" spans="1:7">
      <c r="A29" s="1">
        <v>14</v>
      </c>
      <c r="B29" s="1">
        <v>27</v>
      </c>
      <c r="C29" s="1">
        <v>22.5</v>
      </c>
      <c r="D29" s="1">
        <v>26.3</v>
      </c>
      <c r="E29" s="1">
        <v>22.5</v>
      </c>
      <c r="F29" s="1">
        <v>26.3</v>
      </c>
      <c r="G29" s="1">
        <v>7</v>
      </c>
    </row>
    <row r="30" spans="1:7">
      <c r="A30" s="1">
        <v>30</v>
      </c>
      <c r="B30" s="1">
        <v>31</v>
      </c>
      <c r="C30" s="1">
        <v>17</v>
      </c>
      <c r="D30" s="1">
        <v>20</v>
      </c>
      <c r="E30" s="1">
        <v>17</v>
      </c>
      <c r="F30" s="1">
        <v>20</v>
      </c>
      <c r="G30" s="1">
        <v>8</v>
      </c>
    </row>
    <row r="31" spans="1:7">
      <c r="A31" s="1">
        <v>30</v>
      </c>
      <c r="B31" s="1">
        <v>31</v>
      </c>
      <c r="C31" s="1">
        <v>19.5</v>
      </c>
      <c r="D31" s="1">
        <v>23</v>
      </c>
      <c r="E31" s="1">
        <v>19.5</v>
      </c>
      <c r="F31" s="1">
        <v>23</v>
      </c>
      <c r="G31" s="1">
        <v>2</v>
      </c>
    </row>
    <row r="32" spans="1:7">
      <c r="A32" s="1">
        <v>14</v>
      </c>
      <c r="B32" s="1">
        <v>28</v>
      </c>
      <c r="C32" s="1">
        <v>20.5</v>
      </c>
      <c r="D32" s="1">
        <v>23.4</v>
      </c>
      <c r="E32" s="1">
        <v>20.5</v>
      </c>
      <c r="F32" s="1">
        <v>23.4</v>
      </c>
      <c r="G32" s="1">
        <v>6</v>
      </c>
    </row>
    <row r="33" spans="1:7">
      <c r="A33" s="1">
        <v>30</v>
      </c>
      <c r="B33" s="1">
        <v>32</v>
      </c>
      <c r="C33" s="1">
        <v>21.5</v>
      </c>
      <c r="D33" s="1">
        <v>25.1</v>
      </c>
      <c r="E33" s="1">
        <v>21.5</v>
      </c>
      <c r="F33" s="1">
        <v>25.1</v>
      </c>
      <c r="G33" s="1">
        <v>3</v>
      </c>
    </row>
    <row r="34" spans="1:7">
      <c r="A34" s="1">
        <v>23</v>
      </c>
      <c r="B34" s="1">
        <v>24</v>
      </c>
      <c r="C34" s="1">
        <v>18</v>
      </c>
      <c r="D34" s="1">
        <v>21.3</v>
      </c>
      <c r="E34" s="1">
        <v>18</v>
      </c>
      <c r="F34" s="1">
        <v>21.3</v>
      </c>
      <c r="G34" s="1">
        <v>2</v>
      </c>
    </row>
    <row r="35" spans="1:7">
      <c r="A35" s="1">
        <v>30</v>
      </c>
      <c r="B35" s="1">
        <v>33</v>
      </c>
      <c r="C35" s="1">
        <v>16</v>
      </c>
      <c r="D35" s="1">
        <v>19.2</v>
      </c>
      <c r="E35" s="1">
        <v>16</v>
      </c>
      <c r="F35" s="1">
        <v>19.2</v>
      </c>
      <c r="G35" s="1">
        <v>5</v>
      </c>
    </row>
    <row r="36" spans="1:7">
      <c r="A36" s="1">
        <v>30</v>
      </c>
      <c r="B36" s="1">
        <v>33</v>
      </c>
      <c r="C36" s="1">
        <v>21.5</v>
      </c>
      <c r="D36" s="1">
        <v>24.6</v>
      </c>
      <c r="E36" s="1">
        <v>21.5</v>
      </c>
      <c r="F36" s="1">
        <v>24.6</v>
      </c>
      <c r="G36" s="1">
        <v>5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9</vt:i4>
      </vt:variant>
    </vt:vector>
  </HeadingPairs>
  <TitlesOfParts>
    <vt:vector size="9" baseType="lpstr">
      <vt:lpstr>N</vt:lpstr>
      <vt:lpstr>T</vt:lpstr>
      <vt:lpstr>K</vt:lpstr>
      <vt:lpstr>o</vt:lpstr>
      <vt:lpstr>R_3</vt:lpstr>
      <vt:lpstr>R_7</vt:lpstr>
      <vt:lpstr>R_14</vt:lpstr>
      <vt:lpstr>R_17</vt:lpstr>
      <vt:lpstr>R_35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梦§伤</cp:lastModifiedBy>
  <dcterms:created xsi:type="dcterms:W3CDTF">2015-06-05T18:17:00Z</dcterms:created>
  <dcterms:modified xsi:type="dcterms:W3CDTF">2025-08-08T10:02:18Z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AF1ECC6B8DFA4705B6FEFD24E6BE0F84_12</vt:lpwstr>
  </property>
  <property fmtid="{D5CDD505-2E9C-101B-9397-08002B2CF9AE}" pid="3" name="KSOProductBuildVer">
    <vt:lpwstr>2052-12.1.0.21915</vt:lpwstr>
  </property>
</Properties>
</file>